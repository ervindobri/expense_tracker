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" sheetId="1" r:id="rId5"/>
    <sheet state="visible" name="2025" sheetId="2" r:id="rId6"/>
    <sheet state="visible" name="2024" sheetId="3" r:id="rId7"/>
    <sheet state="visible" name="2023" sheetId="4" r:id="rId8"/>
    <sheet state="visible" name="2022" sheetId="5" r:id="rId9"/>
    <sheet state="visible" name="2021" sheetId="6" r:id="rId10"/>
    <sheet state="visible" name="Assets" sheetId="7" r:id="rId11"/>
    <sheet state="visible" name="Investments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tc={07ff35cb-1cc2-4125-b52a-d4ae5674009b}</author>
    <author>tc={11e93f71-d383-4dbf-8b33-9818c9ff855d}</author>
    <author>tc={25040c3f-3346-4254-8c39-3172448caf9d}</author>
    <author>tc={2d884e2d-de8a-4e7e-abfa-18b1e875add9}</author>
    <author>tc={35a6f3dc-bfe4-4952-ad3f-51513489fedb}</author>
    <author>tc={39306e89-a7aa-4127-837c-e926a1f7b973}</author>
    <author>tc={471e3639-ba7e-421b-a941-5cc411fa5025}</author>
    <author>tc={4826de1d-f329-4561-9050-8c02747b0231}</author>
    <author>tc={5981ea20-20f9-4bd0-8667-d42c1a0b31c7}</author>
    <author>tc={6371365c-72d8-44a4-9496-39298d40be18}</author>
    <author>tc={6923594b-5ce0-43a5-96a4-75b7cde65451}</author>
    <author>tc={6d962fa3-66f9-4b33-839d-4de0e64fbd44}</author>
    <author>tc={9ab4a3df-7a0e-4081-ae1c-28c6229f8cd0}</author>
    <author>tc={a44f08fc-6641-4ff8-954f-9863c2eaae2e}</author>
    <author>tc={c25fe7c4-8b14-4c9b-9632-f2940d297c96}</author>
    <author>tc={c9b1a7f0-b9e3-428b-b823-296708796c30}</author>
    <author>tc={d47944c2-2802-441b-9d56-1d2364edf283}</author>
    <author>tc={e03da9c3-7696-444b-9f4e-5142e5a5dda4}</author>
    <author>tc={e485885e-8251-4ab9-9af4-613701283916}</author>
    <author>tc={fde72750-7507-464e-9339-bdba7cfc9e59}</author>
  </authors>
  <commentList>
    <comment authorId="0" xr:uid="{07ff35cb-1cc2-4125-b52a-d4ae5674009b}" ref="Q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mom
</t>
      </text>
    </comment>
    <comment authorId="1" xr:uid="{11e93f71-d383-4dbf-8b33-9818c9ff855d}" ref="E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8k SSD-re Botinak
</t>
      </text>
    </comment>
    <comment authorId="2" xr:uid="{25040c3f-3346-4254-8c39-3172448caf9d}" ref="I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3" xr:uid="{2d884e2d-de8a-4e7e-abfa-18b1e875add9}" ref="G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weights for lifting
</t>
      </text>
    </comment>
    <comment authorId="4" xr:uid="{35a6f3dc-bfe4-4952-ad3f-51513489fedb}" ref="G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monitor GLS
</t>
      </text>
    </comment>
    <comment authorId="5" xr:uid="{39306e89-a7aa-4127-837c-e926a1f7b973}" ref="K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Google TV stick 15k
</t>
      </text>
    </comment>
    <comment authorId="6" xr:uid="{471e3639-ba7e-421b-a941-5cc411fa5025}" ref="I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vacation Morocco
</t>
      </text>
    </comment>
    <comment authorId="7" xr:uid="{4826de1d-f329-4561-9050-8c02747b023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churrasco - 4727
</t>
      </text>
    </comment>
    <comment authorId="8" xr:uid="{5981ea20-20f9-4bd0-8667-d42c1a0b31c7}" ref="G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Casamento stuff - 51k
</t>
      </text>
    </comment>
    <comment authorId="9" xr:uid="{6371365c-72d8-44a4-9496-39298d40be18}" ref="I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returned parkside drill
</t>
      </text>
    </comment>
    <comment authorId="10" xr:uid="{6923594b-5ce0-43a5-96a4-75b7cde65451}" ref="K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pull up bar
</t>
      </text>
    </comment>
    <comment authorId="11" xr:uid="{6d962fa3-66f9-4b33-839d-4de0e64fbd44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
</t>
      </text>
    </comment>
    <comment authorId="12" xr:uid="{9ab4a3df-7a0e-4081-ae1c-28c6229f8cd0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Paula - installment for BR trip
</t>
      </text>
    </comment>
    <comment authorId="13" xr:uid="{a44f08fc-6641-4ff8-954f-9863c2eaae2e}" ref="M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bojler maintenance
</t>
      </text>
    </comment>
    <comment authorId="14" xr:uid="{c25fe7c4-8b14-4c9b-9632-f2940d297c9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VAJ
</t>
      </text>
    </comment>
    <comment authorId="15" xr:uid="{c9b1a7f0-b9e3-428b-b823-296708796c30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
</t>
      </text>
    </comment>
    <comment authorId="16" xr:uid="{d47944c2-2802-441b-9d56-1d2364edf283}" ref="I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SZIGET friday
</t>
      </text>
    </comment>
    <comment authorId="17" xr:uid="{e03da9c3-7696-444b-9f4e-5142e5a5dda4}" ref="I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Valentines Eger
</t>
      </text>
    </comment>
    <comment authorId="18" xr:uid="{e485885e-8251-4ab9-9af4-613701283916}" ref="G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FREELANCE - 4000 RON CARDIO VITALITY
</t>
      </text>
    </comment>
    <comment authorId="19" xr:uid="{fde72750-7507-464e-9339-bdba7cfc9e59}" ref="K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150k mom gift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tc={028a62a6-aec7-45b0-b868-904eeb40fbfd}</author>
    <author>tc={054cd2f9-ea62-406c-a8d6-15b2646153e2}</author>
    <author>tc={0836dedd-2252-4390-bc2b-1c253e6fd14e}</author>
    <author>tc={08fc769c-d27a-41b8-97be-6bc6a671d739}</author>
    <author>tc={0d9f4929-bc68-4be9-822a-e605c3a72d70}</author>
    <author>tc={167dd5fb-4bf7-44b4-b58b-058663eeab64}</author>
    <author>tc={17428fc9-036e-4283-b520-eb591e4f7331}</author>
    <author>tc={248a9a65-fcc5-4e10-9d3b-a500353c3acd}</author>
    <author>tc={24cabacc-4901-4853-bba8-2f488bf4fca6}</author>
    <author>tc={326e26a9-33d3-4a84-99de-e5068b637779}</author>
    <author>tc={3430fcdb-6862-415e-9661-afcce6bb8cb8}</author>
    <author>tc={3597139f-8d94-46d0-899d-31c3193434f2}</author>
    <author>tc={44689302-508a-4a28-8ac6-bc33fd400af1}</author>
    <author>tc={4976cc69-5b63-43a6-8ee7-5d8f066d5d2e}</author>
    <author>tc={4a6e9ca7-d32d-49a0-a9d6-6210ef42211c}</author>
    <author>tc={4f74b387-b761-4001-936b-666c1a8357ab}</author>
    <author>tc={6000afd4-fb45-4ddd-b8e0-1b49d283c2e7}</author>
    <author>tc={61003329-0312-4401-9072-cd6cd473f2c9}</author>
    <author>tc={687aa398-350f-43b8-a089-93ae84728aa5}</author>
    <author>tc={68c8cd92-4bdc-4996-a312-65f8cda87bad}</author>
    <author>tc={6d494191-5ac2-4d1d-9b22-8d6b6560dc08}</author>
    <author>tc={6ee490ce-c8e2-43c3-af48-d4723d9b84b2}</author>
    <author>tc={6f936219-e684-485c-8ed0-527ee96bb095}</author>
    <author>tc={70828724-9ab7-40ed-b0d2-1af441f475db}</author>
    <author>tc={75ade557-2ed2-42a3-aca2-4858122973cb}</author>
    <author>tc={762209e1-4aa0-44ac-89d1-1c553ce0b8e8}</author>
    <author>tc={7d81afc6-e7a4-40e5-ba21-81462cbdd1f3}</author>
    <author>tc={7ff64b0c-d7c1-487e-a171-3f9039998ba4}</author>
    <author>tc={83dac30f-b1f5-4832-b4dd-48cde2afe761}</author>
    <author>tc={8a3b6d83-ba08-4a90-8608-009ace192ef4}</author>
    <author>tc={8a969777-2a7c-4435-b887-515394f1557d}</author>
    <author>tc={8af82059-d77a-463c-99a0-c5a13d3d44bf}</author>
    <author>tc={8ee61d12-20a8-40ee-81ec-cc8479256f73}</author>
    <author>tc={a2376051-746a-4583-879c-c2a4e00751a7}</author>
    <author>tc={a33284be-b1f0-4bdc-9d0c-e03fbdf03da4}</author>
    <author>tc={a43e6b55-1488-4ad8-b07f-c9c75e3b7c23}</author>
    <author>tc={a5711e81-8580-4243-93a8-9b38817d75bd}</author>
    <author>tc={ad45b30d-6de7-4f48-9227-3946ed560309}</author>
    <author>tc={ae01af5a-8702-4138-9b49-d6676ce895f0}</author>
    <author>tc={aea1c2a7-8b01-4b28-9b9d-a4f21715745b}</author>
    <author>tc={b3259e5d-53c5-4d0e-babb-c7da037d71d7}</author>
    <author>tc={b38056ef-f821-49ab-b69d-a8be01873d1f}</author>
    <author>tc={b5a8cef7-bd6e-40c1-90e6-d704a9cf16ea}</author>
    <author>tc={b756b370-5384-4b26-b700-642b84c7998e}</author>
    <author>tc={c2f614e4-7985-4bda-a9e9-d104eb3b637d}</author>
    <author>tc={c7db972a-6a77-4650-b16b-d0269a2c75cf}</author>
    <author>tc={d00a5b6d-96b5-4cdc-b021-511efaa31e50}</author>
    <author>tc={d0f68174-8e40-47d7-8ec2-c7b44e61097a}</author>
    <author>tc={d6a82dec-b0eb-4504-8190-c1cbb28e1561}</author>
    <author>tc={d8db7a32-d75e-446d-b746-008afcf04611}</author>
    <author>tc={db572074-62ba-46d5-b0bb-f28b3a12631b}</author>
    <author>tc={de30e7fa-f5a3-4859-b062-7ef906476b9a}</author>
    <author>tc={e40c62b4-663a-4030-b964-5307616da46f}</author>
    <author>tc={ecde64cc-c7bb-4227-9bbb-852e3f8e70cd}</author>
    <author>tc={f6fb3061-9eff-43a7-971a-d4d2649c2b7b}</author>
  </authors>
  <commentList>
    <comment authorId="0" xr:uid="{028a62a6-aec7-45b0-b868-904eeb40fbfd}" ref="G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
</t>
      </text>
    </comment>
    <comment authorId="1" xr:uid="{054cd2f9-ea62-406c-a8d6-15b2646153e2}" ref="G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KENDRICK SAO PAULO PORRA
</t>
      </text>
    </comment>
    <comment authorId="2" xr:uid="{0836dedd-2252-4390-bc2b-1c253e6fd14e}" ref="I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ncase m2
</t>
      </text>
    </comment>
    <comment authorId="3" xr:uid="{08fc769c-d27a-41b8-97be-6bc6a671d739}" ref="I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Booking.com - Flight PVH -&gt; SAO PAULO
</t>
      </text>
    </comment>
    <comment authorId="4" xr:uid="{0d9f4929-bc68-4be9-822a-e605c3a72d70}" ref="I18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5" xr:uid="{167dd5fb-4bf7-44b4-b58b-058663eeab64}" ref="E1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uber to hospital
</t>
      </text>
    </comment>
    <comment authorId="6" xr:uid="{17428fc9-036e-4283-b520-eb591e4f7331}" ref="I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valentin nap
</t>
      </text>
    </comment>
    <comment authorId="7" xr:uid="{248a9a65-fcc5-4e10-9d3b-a500353c3acd}" ref="I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shein clothes
</t>
      </text>
    </comment>
    <comment authorId="8" xr:uid="{24cabacc-4901-4853-bba8-2f488bf4fca6}" ref="G1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interfood - 6345
</t>
      </text>
    </comment>
    <comment authorId="9" xr:uid="{326e26a9-33d3-4a84-99de-e5068b637779}" ref="I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rent overhead back to AnaP
</t>
      </text>
    </comment>
    <comment authorId="10" xr:uid="{3430fcdb-6862-415e-9661-afcce6bb8cb8}" ref="K1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easter dinner + etc
</t>
      </text>
    </comment>
    <comment authorId="11" xr:uid="{3597139f-8d94-46d0-899d-31c3193434f2}" ref="I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match HUN - URL
</t>
      </text>
    </comment>
    <comment authorId="12" xr:uid="{44689302-508a-4a28-8ac6-bc33fd400af1}" ref="K3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7x CGM = 39116
</t>
      </text>
    </comment>
    <comment authorId="13" xr:uid="{4976cc69-5b63-43a6-8ee7-5d8f066d5d2e}" ref="I2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4800 - Revolut metal subscription
</t>
      </text>
    </comment>
    <comment authorId="14" xr:uid="{4a6e9ca7-d32d-49a0-a9d6-6210ef42211c}" ref="K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SD CArd
</t>
      </text>
    </comment>
    <comment authorId="15" xr:uid="{4f74b387-b761-4001-936b-666c1a8357ab}" ref="O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total: 200+200+500+400+500=1800 RON=&gt;
~140K HUF
</t>
      </text>
    </comment>
    <comment authorId="16" xr:uid="{6000afd4-fb45-4ddd-b8e0-1b49d283c2e7}" ref="E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Barca jersey &lt;3
</t>
      </text>
    </comment>
    <comment authorId="17" xr:uid="{61003329-0312-4401-9072-cd6cd473f2c9}" ref="G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SOLO.ro
</t>
      </text>
    </comment>
    <comment authorId="18" xr:uid="{687aa398-350f-43b8-a089-93ae84728aa5}" ref="G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19" xr:uid="{68c8cd92-4bdc-4996-a312-65f8cda87bad}" ref="K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20" xr:uid="{6d494191-5ac2-4d1d-9b22-8d6b6560dc08}" ref="M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GPU 12vhpwr adapter -&gt; cable from roger.smith
Reply:
	3d printed legs for ncase m2
</t>
      </text>
    </comment>
    <comment authorId="21" xr:uid="{6ee490ce-c8e2-43c3-af48-d4723d9b84b2}" ref="K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taxi to hospital 6:49
</t>
      </text>
    </comment>
    <comment authorId="22" xr:uid="{6f936219-e684-485c-8ed0-527ee96bb095}" ref="M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
</t>
      </text>
    </comment>
    <comment authorId="23" xr:uid="{70828724-9ab7-40ed-b0d2-1af441f475db}" ref="E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comic con
</t>
      </text>
    </comment>
    <comment authorId="24" xr:uid="{75ade557-2ed2-42a3-aca2-4858122973cb}" ref="I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CROPP JEANS blue + black
</t>
      </text>
    </comment>
    <comment authorId="25" xr:uid="{762209e1-4aa0-44ac-89d1-1c553ce0b8e8}" ref="I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RTX 5070 from alternate.de
</t>
      </text>
    </comment>
    <comment authorId="26" xr:uid="{7d81afc6-e7a4-40e5-ba21-81462cbdd1f3}" ref="G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27" xr:uid="{7ff64b0c-d7c1-487e-a171-3f9039998ba4}" ref="I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Ana's Mom
Reply:
	Gift to Mom - cancelled
Reply:
	Gift to Mom
</t>
      </text>
    </comment>
    <comment authorId="28" xr:uid="{83dac30f-b1f5-4832-b4dd-48cde2afe761}" ref="I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 90k
</t>
      </text>
    </comment>
    <comment authorId="29" xr:uid="{8a3b6d83-ba08-4a90-8608-009ace192ef4}" ref="K3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30" xr:uid="{8a969777-2a7c-4435-b887-515394f1557d}" ref="I2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 fryer
</t>
      </text>
    </comment>
    <comment authorId="31" xr:uid="{8af82059-d77a-463c-99a0-c5a13d3d44bf}" ref="E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bd gift
</t>
      </text>
    </comment>
    <comment authorId="32" xr:uid="{8ee61d12-20a8-40ee-81ec-cc8479256f73}" ref="G2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birthday stuff
</t>
      </text>
    </comment>
    <comment authorId="33" xr:uid="{a2376051-746a-4583-879c-c2a4e00751a7}" ref="I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
</t>
      </text>
    </comment>
    <comment authorId="34" xr:uid="{a33284be-b1f0-4bdc-9d0c-e03fbdf03da4}" ref="E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Reply:
	haircut
</t>
      </text>
    </comment>
    <comment authorId="35" xr:uid="{a43e6b55-1488-4ad8-b07f-c9c75e3b7c23}" ref="G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The four owls concert
</t>
      </text>
    </comment>
    <comment authorId="36" xr:uid="{a5711e81-8580-4243-93a8-9b38817d75bd}" ref="G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LED + fa minta tapeta
</t>
      </text>
    </comment>
    <comment authorId="37" xr:uid="{ad45b30d-6de7-4f48-9227-3946ed560309}" ref="E2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 - 31,5k
</t>
      </text>
    </comment>
    <comment authorId="38" xr:uid="{ae01af5a-8702-4138-9b49-d6676ce895f0}" ref="G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CGM supplies + etalon stripes
</t>
      </text>
    </comment>
    <comment authorId="39" xr:uid="{aea1c2a7-8b01-4b28-9b9d-a4f21715745b}" ref="I2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insta360 go ultra
</t>
      </text>
    </comment>
    <comment authorId="40" xr:uid="{b3259e5d-53c5-4d0e-babb-c7da037d71d7}" ref="K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AIRBNB ROME
</t>
      </text>
    </comment>
    <comment authorId="41" xr:uid="{b38056ef-f821-49ab-b69d-a8be01873d1f}" ref="K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shipping via mailboxde for the RTX 5070 from alternate.de
Reply:
	GPU 12vhpwr cable from roger.smith
</t>
      </text>
    </comment>
    <comment authorId="42" xr:uid="{b5a8cef7-bd6e-40c1-90e6-d704a9cf16ea}" ref="I2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Vienna - Ana BD
</t>
      </text>
    </comment>
    <comment authorId="43" xr:uid="{b756b370-5384-4b26-b700-642b84c7998e}" ref="I1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RTX 4060
</t>
      </text>
    </comment>
    <comment authorId="44" xr:uid="{c2f614e4-7985-4bda-a9e9-d104eb3b637d}" ref="G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45" xr:uid="{c7db972a-6a77-4650-b16b-d0269a2c75cf}" ref="E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sale pub -&gt; 26C brunch -&gt; Gabi's dinner
</t>
      </text>
    </comment>
    <comment authorId="46" xr:uid="{d00a5b6d-96b5-4cdc-b021-511efaa31e50}" ref="K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 gift - 1000RON
</t>
      </text>
    </comment>
    <comment authorId="47" xr:uid="{d0f68174-8e40-47d7-8ec2-c7b44e61097a}" ref="M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vacation Rome
</t>
      </text>
    </comment>
    <comment authorId="48" xr:uid="{d6a82dec-b0eb-4504-8190-c1cbb28e1561}" ref="G1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MSI RTX 2060  ventus XS
</t>
      </text>
    </comment>
    <comment authorId="49" xr:uid="{d8db7a32-d75e-446d-b746-008afcf04611}" ref="M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RTX 4060 GPU
</t>
      </text>
    </comment>
    <comment authorId="50" xr:uid="{db572074-62ba-46d5-b0bb-f28b3a12631b}" ref="I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Palfi visit eating/drinking out
</t>
      </text>
    </comment>
    <comment authorId="51" xr:uid="{de30e7fa-f5a3-4859-b062-7ef906476b9a}" ref="M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Hugo + jacq Airbnb part
</t>
      </text>
    </comment>
    <comment authorId="52" xr:uid="{e40c62b4-663a-4030-b964-5307616da46f}" ref="M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french food festival 9950HUF
</t>
      </text>
    </comment>
    <comment authorId="53" xr:uid="{ecde64cc-c7bb-4227-9bbb-852e3f8e70cd}" ref="G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airplane ickets to BRASOV
</t>
      </text>
    </comment>
    <comment authorId="54" xr:uid="{f6fb3061-9eff-43a7-971a-d4d2649c2b7b}" ref="I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tc={0050d869-91ca-42d0-843e-9c821a70d7dd}</author>
    <author>tc={02778556-d16b-4f22-ac02-c5af1cb8e0bc}</author>
    <author>tc={06256bf7-0e18-4a4a-9d1c-6ddbb0a110c7}</author>
    <author>tc={0670ceab-a446-41b1-823f-fdbc6f58a17c}</author>
    <author>tc={09445f91-cdae-479c-9f8c-a9112f9de2b9}</author>
    <author>tc={0dd5f6e7-0436-4a4f-b140-4632e16070a7}</author>
    <author>tc={1002c5ad-58ec-4068-8cd0-2c6a0d9a060b}</author>
    <author>tc={1249f8e1-6259-48be-acbc-d4c258b4f3fe}</author>
    <author>tc={13638609-2392-451c-84dd-9970aa0ad8ad}</author>
    <author>tc={1414b6f5-acaa-48c1-bc26-7b029f24831c}</author>
    <author>tc={1471e257-9856-4356-a492-aebe3472e42b}</author>
    <author>tc={16226adf-dfaa-4c03-aee1-c0dea51a707e}</author>
    <author>tc={19cfb512-2f51-492d-9d35-b81b3f67477d}</author>
    <author>tc={2211fab1-2080-4966-9490-e9dfd553e0a6}</author>
    <author>tc={22190e5f-7290-498e-8dc6-86a2c0651758}</author>
    <author>tc={2659a1fe-a004-4e62-8074-a18c9c7b2b89}</author>
    <author>tc={29119a22-6a2e-44ec-b9f4-2bc3399e860a}</author>
    <author>tc={2a6491e7-b727-4039-852d-f6559107f6bf}</author>
    <author>tc={2bfe5179-ebce-4f55-8ec6-ca729208c7c2}</author>
    <author>tc={2f410644-d929-4c47-867e-76cd2451cc7f}</author>
    <author>tc={2f772ea4-b739-4487-852e-8999632b8707}</author>
    <author>tc={35563491-3405-43ba-8d8d-ca466c41ab42}</author>
    <author>tc={394b80cc-0507-4e6c-a0e6-29dd86a4e4e0}</author>
    <author>tc={3b6a0407-a73f-47a6-a0e2-68556b61a693}</author>
    <author>tc={3cf58aa1-e591-4070-8dcd-7caee8e3f6fe}</author>
    <author>tc={3f31bab6-e374-40e2-9bfa-83354d61ebc7}</author>
    <author>tc={415d79cb-9f64-403d-b1a5-9f898892812a}</author>
    <author>tc={47b68257-f94e-4d71-acdc-014feb4ac13c}</author>
    <author>tc={486801e3-becf-42bd-b917-8256a63894cf}</author>
    <author>tc={49a93983-61d5-4fd2-9812-09e365483228}</author>
    <author>tc={4a4bd079-f0f1-4ff4-93aa-4b81431b75a6}</author>
    <author>tc={4c3297ec-cece-4c90-b6a0-32a2f89789d2}</author>
    <author>tc={4de35dff-8bf8-4a4f-ab16-9e6a1badccd7}</author>
    <author>tc={51cd2231-cbfa-48eb-8fcf-ae8f64b8eead}</author>
    <author>tc={56424d8d-601e-4959-ad4b-62d538c35522}</author>
    <author>tc={5b254826-76bb-4a3b-8dbb-ce62781fa7ce}</author>
    <author>tc={5e6a155d-b664-4bec-90b7-c73fe7b644a7}</author>
    <author>tc={609de2d7-3734-4de7-92be-a1e4e093a5ec}</author>
    <author>tc={62def256-2b3a-407f-acaa-38a8730781e8}</author>
    <author>tc={65f6647f-c6fd-466a-80f6-7d3f08c01ef6}</author>
    <author>tc={66023c7a-d8ae-407f-ad7f-201f484f14b9}</author>
    <author>tc={666465df-9c50-4649-b0dd-d41a05756ba5}</author>
    <author>tc={682ffc4d-e4ea-400b-bcb5-046c8ed0c2d6}</author>
    <author>tc={6954bcce-a249-4f99-9997-876f9b670018}</author>
    <author>tc={6addf6c2-d7db-486a-b978-34ecdc47777c}</author>
    <author>tc={6c44ff35-88fc-4636-885b-5ebc5fbee41b}</author>
    <author>tc={6c49936c-45e8-439b-a080-fb8741cab506}</author>
    <author>tc={6df82d34-68aa-4a11-af35-38cf15830f0a}</author>
    <author>tc={6df94386-a6c9-45b5-a206-bbb301dcedee}</author>
    <author>tc={6f04bc31-fc30-43cb-979a-a895b90917eb}</author>
    <author>tc={734127cf-32da-43fb-abd0-367ccf95a6ac}</author>
    <author>tc={7521af78-50cd-4702-a5f7-2d5b69246fa4}</author>
    <author>tc={76d7315e-51aa-4430-85a9-e4aee97d3f81}</author>
    <author>tc={79e7d851-5825-446c-8769-a4403bdf05f9}</author>
    <author>tc={7b98923a-5e1d-47a6-bd9b-58da5468fe3e}</author>
    <author>tc={7bb2e07d-8098-48ac-a07e-187293ebb0b5}</author>
    <author>tc={7ca51d59-d714-42df-8334-14b65444527e}</author>
    <author>tc={7d39f70f-931f-418e-9e8e-d575a84e5ac9}</author>
    <author>tc={7f85a177-75b9-49d8-8513-7ec19123c30a}</author>
    <author>tc={7f94523b-c84f-486e-9c76-a77077b4c1e5}</author>
    <author>tc={8048b779-15e3-4332-98fc-a7da75ddfce2}</author>
    <author>tc={8144c92a-d456-4f63-a008-912d0954a651}</author>
    <author>tc={816743ca-e837-46bd-8eab-3130cc75d03c}</author>
    <author>tc={81a20ecd-847d-4dfe-bb91-0fbc0219c753}</author>
    <author>tc={893fee67-84ca-4d8c-b2f3-1227e38d4731}</author>
    <author>tc={8cc8c621-ff71-48e3-875b-3b9f6d87666d}</author>
    <author>tc={8e5c4a74-4d8e-42b5-8d75-c15187d57b21}</author>
    <author>tc={8fc3c686-1659-4b43-bd93-5b269296bb68}</author>
    <author>tc={91831b46-d60a-4d08-8b3e-655f6243e651}</author>
    <author>tc={936bd999-7839-4d46-88f8-8d3027efb860}</author>
    <author>tc={95e5867d-6695-43f4-ada3-8d7a8c209632}</author>
    <author>tc={9dccccc4-39cb-4f4a-9cd7-8831821cd8fc}</author>
    <author>tc={9dfefeb4-cc68-49f3-9b0c-2a7c9ccf240e}</author>
    <author>tc={a139ebe5-69ef-4cd1-914d-c0be38e3317c}</author>
    <author>tc={a144dcb6-a91d-467f-b729-1352232b674a}</author>
    <author>tc={a1b18fd5-01c3-4b4a-bb5b-916dc8f042dc}</author>
    <author>tc={a569f00e-8151-4d6d-a019-a0e70ec873fd}</author>
    <author>tc={a8725fe3-d872-41a1-a3de-999f5687f0e8}</author>
    <author>tc={a93f7929-4719-4ddd-9a90-451a0d65296d}</author>
    <author>tc={aa0fd509-b2ca-4056-bb90-04360f7d24b5}</author>
    <author>tc={ab5671c4-ba42-490a-8f42-fd7344aa541a}</author>
    <author>tc={ab6f30eb-4d74-475d-bc8a-1cf24682dab8}</author>
    <author>tc={acb06b0a-5c86-4198-a47f-11c4a8e25959}</author>
    <author>tc={b4bc01df-8f42-44f3-9922-7fa282133510}</author>
    <author>tc={b500996c-2099-4cc1-bacf-26e74368fefd}</author>
    <author>tc={b576bafb-c249-4cb2-bfdc-2b9057e486ff}</author>
    <author>tc={c0480b8a-4c17-4738-904f-e9f8b8da6853}</author>
    <author>tc={c12b4430-1ab7-4eb9-87c7-8b17159577a8}</author>
    <author>tc={c52a484e-580e-4c3f-b918-9a6745803bab}</author>
    <author>tc={c76c7e72-70ae-4719-a78b-56d227a7cc50}</author>
    <author>tc={c793e135-6587-4974-93e5-5b830f21ca70}</author>
    <author>tc={c8af2bf2-bf49-41c7-9538-ba9b4f03606f}</author>
    <author>tc={cbbc6fa9-8ea3-4265-a603-1a3dc19ae952}</author>
    <author>tc={cecfc492-247b-475c-b335-328b3340ac30}</author>
    <author>tc={cef71844-5f9b-4269-b5c1-72f3619f3470}</author>
    <author>tc={cf7c12b4-f82d-4700-8b19-2ed2caf4f96e}</author>
    <author>tc={d0031231-31ee-4831-8873-8d624b751aed}</author>
    <author>tc={d206fcdf-28f8-4d19-9fcb-40259383d190}</author>
    <author>tc={d4d15b73-5f93-4b06-99db-3026d92a4d45}</author>
    <author>tc={d6aed3fb-fb4b-4301-85ae-b8c5a94b8b58}</author>
    <author>tc={d6dc0c19-e176-49bb-acf5-abd04a60f383}</author>
    <author>tc={dbc8b860-77e3-4256-a025-e58baec4f4d0}</author>
    <author>tc={e3901339-3ad7-47a9-93b4-1f6c69122fe8}</author>
    <author>tc={e42581b3-8992-45c1-8df9-8b22fc68ac3a}</author>
    <author>tc={e61ecd19-3f7f-4c22-828c-d858dde1ec1c}</author>
    <author>tc={e8834c0e-2659-4bbb-993f-16915111633f}</author>
    <author>tc={e99e197d-0ac2-4f3e-b17e-90d9efc97c51}</author>
    <author>tc={e9dc7b6c-ef95-45c8-9838-1ab5e75f45d8}</author>
    <author>tc={eba534ff-84d8-4f3e-8257-55d39beba71f}</author>
    <author>tc={ed4dc7c6-64a5-496e-a723-e87cc707f0ce}</author>
    <author>tc={ed832400-b444-4d0d-ba8b-b8bba1ddc9d1}</author>
    <author>tc={eef3758d-13c1-4df8-9847-26fae65613f6}</author>
    <author>tc={ef8c563d-f613-4467-8b5b-a84f328859fd}</author>
    <author>tc={f1f40f43-e83d-4540-b0b0-cf76f7536b6c}</author>
    <author>tc={f432656e-8d78-4033-b16b-a4b3fc6a0fe7}</author>
    <author>tc={f976c3aa-dc59-446d-ad05-43f0c5fad92c}</author>
    <author>tc={fa941ccd-7c81-41e9-af74-b3a3e9fb8922}</author>
    <author>tc={fd0f32c7-aea4-44e1-9960-0c97bc3d4d55}</author>
  </authors>
  <commentList>
    <comment authorId="0" xr:uid="{0050d869-91ca-42d0-843e-9c821a70d7dd}" ref="M1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adidas ozmillen + socks
</t>
      </text>
    </comment>
    <comment authorId="1" xr:uid="{02778556-d16b-4f22-ac02-c5af1cb8e0bc}" ref="E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Dune - part two
</t>
      </text>
    </comment>
    <comment authorId="2" xr:uid="{06256bf7-0e18-4a4a-9d1c-6ddbb0a110c7}" ref="I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zinc
</t>
      </text>
    </comment>
    <comment authorId="3" xr:uid="{0670ceab-a446-41b1-823f-fdbc6f58a17c}" ref="E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cinema me + Ana
</t>
      </text>
    </comment>
    <comment authorId="4" xr:uid="{09445f91-cdae-479c-9f8c-a9112f9de2b9}" ref="M2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5" xr:uid="{0dd5f6e7-0436-4a4f-b140-4632e16070a7}" ref="K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canesten
</t>
      </text>
    </comment>
    <comment authorId="6" xr:uid="{1002c5ad-58ec-4068-8cd0-2c6a0d9a060b}" ref="I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BKK fine - for expired pass
Reply:
	foci penz - 4months?
</t>
      </text>
    </comment>
    <comment authorId="7" xr:uid="{1249f8e1-6259-48be-acbc-d4c258b4f3fe}" ref="K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REFund pending
</t>
      </text>
    </comment>
    <comment authorId="8" xr:uid="{13638609-2392-451c-84dd-9970aa0ad8ad}" ref="E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brithday stuff
</t>
      </text>
    </comment>
    <comment authorId="9" xr:uid="{1414b6f5-acaa-48c1-bc26-7b029f24831c}" ref="K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vitamin d
</t>
      </text>
    </comment>
    <comment authorId="10" xr:uid="{1471e257-9856-4356-a492-aebe3472e42b}" ref="E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bonus from DT
</t>
      </text>
    </comment>
    <comment authorId="11" xr:uid="{16226adf-dfaa-4c03-aee1-c0dea51a707e}" ref="I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shaving &amp; other supplies
</t>
      </text>
    </comment>
    <comment authorId="12" xr:uid="{19cfb512-2f51-492d-9d35-b81b3f67477d}" ref="I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 (have to give 500+ next time)
</t>
      </text>
    </comment>
    <comment authorId="13" xr:uid="{2211fab1-2080-4966-9490-e9dfd553e0a6}" ref="I29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French press
</t>
      </text>
    </comment>
    <comment authorId="14" xr:uid="{22190e5f-7290-498e-8dc6-86a2c0651758}" ref="M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gyros after massage
</t>
      </text>
    </comment>
    <comment authorId="15" xr:uid="{2659a1fe-a004-4e62-8074-a18c9c7b2b89}" ref="K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cinema date night
</t>
      </text>
    </comment>
    <comment authorId="16" xr:uid="{29119a22-6a2e-44ec-b9f4-2bc3399e860a}" ref="K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condom (16k)
</t>
      </text>
    </comment>
    <comment authorId="17" xr:uid="{2a6491e7-b727-4039-852d-f6559107f6bf}" ref="K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Wolt - ordered 2 menus before trip home
Reply:
	Petruska etkezde - work lunch
</t>
      </text>
    </comment>
    <comment authorId="18" xr:uid="{2bfe5179-ebce-4f55-8ec6-ca729208c7c2}" ref="E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19" xr:uid="{2f410644-d929-4c47-867e-76cd2451cc7f}" ref="E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Royal patika - insulin etc.
</t>
      </text>
    </comment>
    <comment authorId="20" xr:uid="{2f772ea4-b739-4487-852e-8999632b8707}" ref="K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macbook pro 2014
</t>
      </text>
    </comment>
    <comment authorId="21" xr:uid="{35563491-3405-43ba-8d8d-ca466c41ab42}" ref="G1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sunglasses
Reply:
	Mom 300ron
</t>
      </text>
    </comment>
    <comment authorId="22" xr:uid="{394b80cc-0507-4e6c-a0e6-29dd86a4e4e0}" ref="E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LCWaiki - boxers
</t>
      </text>
    </comment>
    <comment authorId="23" xr:uid="{3b6a0407-a73f-47a6-a0e2-68556b61a693}" ref="I1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comic con - jerome flynn
Reply:
	gokart
</t>
      </text>
    </comment>
    <comment authorId="24" xr:uid="{3cf58aa1-e591-4070-8dcd-7caee8e3f6fe}" ref="G18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Telekom - inHold behajtas
</t>
      </text>
    </comment>
    <comment authorId="25" xr:uid="{3f31bab6-e374-40e2-9bfa-83354d61ebc7}" ref="M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 + Ana poke bowl
</t>
      </text>
    </comment>
    <comment authorId="26" xr:uid="{415d79cb-9f64-403d-b1a5-9f898892812a}" ref="G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foxpost
</t>
      </text>
    </comment>
    <comment authorId="27" xr:uid="{47b68257-f94e-4d71-acdc-014feb4ac13c}" ref="G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dates + decathl;on glove
Reply:
	Ana 6month date
</t>
      </text>
    </comment>
    <comment authorId="28" xr:uid="{486801e3-becf-42bd-b917-8256a63894cf}" ref="I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Notary - lease contract
</t>
      </text>
    </comment>
    <comment authorId="29" xr:uid="{49a93983-61d5-4fd2-9812-09e365483228}" ref="E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500 ron to mom
Reply:
	Ana - earring from SFG
</t>
      </text>
    </comment>
    <comment authorId="30" xr:uid="{4a4bd079-f0f1-4ff4-93aa-4b81431b75a6}" ref="K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 to Holland - Rotterdam -&gt; The Hague -&gt; Amsterdam
+ Acommodation in amsterdam - 64k
</t>
      </text>
    </comment>
    <comment authorId="31" xr:uid="{4c3297ec-cece-4c90-b6a0-32a2f89789d2}" ref="E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32" xr:uid="{4de35dff-8bf8-4a4f-ab16-9e6a1badccd7}" ref="M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Scorpion tickets - Amanda &amp; Ana
</t>
      </text>
    </comment>
    <comment authorId="33" xr:uid="{51cd2231-cbfa-48eb-8fcf-ae8f64b8eead}" ref="K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Amazon - monitor arm
</t>
      </text>
    </comment>
    <comment authorId="34" xr:uid="{56424d8d-601e-4959-ad4b-62d538c35522}" ref="E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26k - Trofea dinner all you can eat with wine
</t>
      </text>
    </comment>
    <comment authorId="35" xr:uid="{5b254826-76bb-4a3b-8dbb-ce62781fa7ce}" ref="I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36" xr:uid="{5e6a155d-b664-4bec-90b7-c73fe7b644a7}" ref="E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3-in-1 magsafe stand - amazon
</t>
      </text>
    </comment>
    <comment authorId="37" xr:uid="{609de2d7-3734-4de7-92be-a1e4e093a5ec}" ref="I1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- gift
</t>
      </text>
    </comment>
    <comment authorId="38" xr:uid="{62def256-2b3a-407f-acaa-38a8730781e8}" ref="M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ERSTE - bank card annual fee + debit transactions fee
</t>
      </text>
    </comment>
    <comment authorId="39" xr:uid="{65f6647f-c6fd-466a-80f6-7d3f08c01ef6}" ref="E29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32GB RAM upgrade
</t>
      </text>
    </comment>
    <comment authorId="40" xr:uid="{66023c7a-d8ae-407f-ad7f-201f484f14b9}" ref="M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ring
</t>
      </text>
    </comment>
    <comment authorId="41" xr:uid="{666465df-9c50-4649-b0dd-d41a05756ba5}" ref="K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deposit
</t>
      </text>
    </comment>
    <comment authorId="42" xr:uid="{682ffc4d-e4ea-400b-bcb5-046c8ed0c2d6}" ref="I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 from company
</t>
      </text>
    </comment>
    <comment authorId="43" xr:uid="{6954bcce-a249-4f99-9997-876f9b670018}" ref="E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F50 shoes for football
</t>
      </text>
    </comment>
    <comment authorId="44" xr:uid="{6addf6c2-d7db-486a-b978-34ecdc47777c}" ref="E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black Timbs &lt;3
</t>
      </text>
    </comment>
    <comment authorId="45" xr:uid="{6c44ff35-88fc-4636-885b-5ebc5fbee41b}" ref="G1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- iPhone 15
Reply:
	sold airpods gen2
</t>
      </text>
    </comment>
    <comment authorId="46" xr:uid="{6c49936c-45e8-439b-a080-fb8741cab506}" ref="K18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Warsaw - flight  + hotel
</t>
      </text>
    </comment>
    <comment authorId="47" xr:uid="{6df82d34-68aa-4a11-af35-38cf15830f0a}" ref="K2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8k - Ana birthday -  Forni di napoli pizza + drink
</t>
      </text>
    </comment>
    <comment authorId="48" xr:uid="{6df94386-a6c9-45b5-a206-bbb301dcedee}" ref="I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balazs march 15th mexican + gifts: joao
</t>
      </text>
    </comment>
    <comment authorId="49" xr:uid="{6f04bc31-fc30-43cb-979a-a895b90917eb}" ref="I2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 - Holland (Eindhoven+Utrecht)
</t>
      </text>
    </comment>
    <comment authorId="50" xr:uid="{734127cf-32da-43fb-abd0-367ccf95a6ac}" ref="K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Balaton expenses
Reply:
	- food, drinks
- renting the house
- other expenses
</t>
      </text>
    </comment>
    <comment authorId="51" xr:uid="{7521af78-50cd-4702-a5f7-2d5b69246fa4}" ref="M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52" xr:uid="{76d7315e-51aa-4430-85a9-e4aee97d3f81}" ref="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edifier hangfalak
</t>
      </text>
    </comment>
    <comment authorId="53" xr:uid="{79e7d851-5825-446c-8769-a4403bdf05f9}" ref="I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DRK socks
</t>
      </text>
    </comment>
    <comment authorId="54" xr:uid="{7b98923a-5e1d-47a6-bd9b-58da5468fe3e}" ref="K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invictus perfume
</t>
      </text>
    </comment>
    <comment authorId="55" xr:uid="{7bb2e07d-8098-48ac-a07e-187293ebb0b5}" ref="I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Lupa beach
</t>
      </text>
    </comment>
    <comment authorId="56" xr:uid="{7ca51d59-d714-42df-8334-14b65444527e}" ref="I1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Rent - 197,271 + rest
</t>
      </text>
    </comment>
    <comment authorId="57" xr:uid="{7d39f70f-931f-418e-9e8e-d575a84e5ac9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Lanchid Sorozo - 5 months anniversary date with Ana
</t>
      </text>
    </comment>
    <comment authorId="58" xr:uid="{7f85a177-75b9-49d8-8513-7ec19123c30a}" ref="I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iPhone 15 + screen protector (- iPhone 12 mini + iPhone SE
Reply:
	Benks ArmorPRO case
</t>
      </text>
    </comment>
    <comment authorId="59" xr:uid="{7f94523b-c84f-486e-9c76-a77077b4c1e5}" ref="M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- waiting for Logi M650 return money
</t>
      </text>
    </comment>
    <comment authorId="60" xr:uid="{8048b779-15e3-4332-98fc-a7da75ddfce2}" ref="G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etalon tesztcsikok
</t>
      </text>
    </comment>
    <comment authorId="61" xr:uid="{8144c92a-d456-4f63-a008-912d0954a651}" ref="K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fitness
</t>
      </text>
    </comment>
    <comment authorId="62" xr:uid="{816743ca-e837-46bd-8eab-3130cc75d03c}" ref="K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CSepeli jegp[alya
</t>
      </text>
    </comment>
    <comment authorId="63" xr:uid="{81a20ecd-847d-4dfe-bb91-0fbc0219c753}" ref="K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Balaton Ana food/snacks
</t>
      </text>
    </comment>
    <comment authorId="64" xr:uid="{893fee67-84ca-4d8c-b2f3-1227e38d4731}" ref="M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65" xr:uid="{8cc8c621-ff71-48e3-875b-3b9f6d87666d}" ref="G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BurgerKing
</t>
      </text>
    </comment>
    <comment authorId="66" xr:uid="{8e5c4a74-4d8e-42b5-8d75-c15187d57b21}" ref="M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futball
</t>
      </text>
    </comment>
    <comment authorId="67" xr:uid="{8fc3c686-1659-4b43-bd93-5b269296bb68}" ref="E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lupa beach
</t>
      </text>
    </comment>
    <comment authorId="68" xr:uid="{91831b46-d60a-4d08-8b3e-655f6243e651}" ref="G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Sibionics
</t>
      </text>
    </comment>
    <comment authorId="69" xr:uid="{936bd999-7839-4d46-88f8-8d3027efb860}" ref="M3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EA FC 25
</t>
      </text>
    </comment>
    <comment authorId="70" xr:uid="{95e5867d-6695-43f4-ada3-8d7a8c209632}" ref="E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Scratcher for the cat
</t>
      </text>
    </comment>
    <comment authorId="71" xr:uid="{9dccccc4-39cb-4f4a-9cd7-8831821cd8fc}" ref="I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balaton ice cream
</t>
      </text>
    </comment>
    <comment authorId="72" xr:uid="{9dfefeb4-cc68-49f3-9b0c-2a7c9ccf240e}" ref="K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for Ana for sneakers :D
</t>
      </text>
    </comment>
    <comment authorId="73" xr:uid="{a139ebe5-69ef-4cd1-914d-c0be38e3317c}" ref="I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74" xr:uid="{a144dcb6-a91d-467f-b729-1352232b674a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DIAB stuff
Reply:
	STD test - Hepatitis
</t>
      </text>
    </comment>
    <comment authorId="75" xr:uid="{a1b18fd5-01c3-4b4a-bb5b-916dc8f042dc}" ref="G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Riverside 100 Bike with accessories
</t>
      </text>
    </comment>
    <comment authorId="76" xr:uid="{a569f00e-8151-4d6d-a019-a0e70ec873fd}" ref="I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samsaung a40 phone
</t>
      </text>
    </comment>
    <comment authorId="77" xr:uid="{a8725fe3-d872-41a1-a3de-999f5687f0e8}" ref="G2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First rent - paid it all
</t>
      </text>
    </comment>
    <comment authorId="78" xr:uid="{a93f7929-4719-4ddd-9a90-451a0d65296d}" ref="G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Bertis - mici,zakuszka
</t>
      </text>
    </comment>
    <comment authorId="79" xr:uid="{aa0fd509-b2ca-4056-bb90-04360f7d24b5}" ref="E2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Anker MagGO - 5k powerbank
</t>
      </text>
    </comment>
    <comment authorId="80" xr:uid="{ab5671c4-ba42-490a-8f42-fd7344aa541a}" ref="K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cappuccino - me &amp; Ana
</t>
      </text>
    </comment>
    <comment authorId="81" xr:uid="{ab6f30eb-4d74-475d-bc8a-1cf24682dab8}" ref="K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iPhone 15 for Ana
</t>
      </text>
    </comment>
    <comment authorId="82" xr:uid="{acb06b0a-5c86-4198-a47f-11c4a8e25959}" ref="G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brithday stuff
</t>
      </text>
    </comment>
    <comment authorId="83" xr:uid="{b4bc01df-8f42-44f3-9922-7fa282133510}" ref="E3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PORTUGAL TRIPPPP
</t>
      </text>
    </comment>
    <comment authorId="84" xr:uid="{b500996c-2099-4cc1-bacf-26e74368fefd}" ref="K1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Reply:
	Caresens Air CGM
</t>
      </text>
    </comment>
    <comment authorId="85" xr:uid="{b576bafb-c249-4cb2-bfdc-2b9057e486ff}" ref="M2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mom
</t>
      </text>
    </comment>
    <comment authorId="86" xr:uid="{c0480b8a-4c17-4738-904f-e9f8b8da6853}" ref="K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 to mom
Reply:
	gift to Ana Paula's papai
</t>
      </text>
    </comment>
    <comment authorId="87" xr:uid="{c12b4430-1ab7-4eb9-87c7-8b17159577a8}" ref="E1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SFG -&gt; BUD IC406
</t>
      </text>
    </comment>
    <comment authorId="88" xr:uid="{c52a484e-580e-4c3f-b918-9a6745803bab}" ref="E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medicine for sickness
</t>
      </text>
    </comment>
    <comment authorId="89" xr:uid="{c76c7e72-70ae-4719-a78b-56d227a7cc50}" ref="G3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
</t>
      </text>
    </comment>
    <comment authorId="90" xr:uid="{c793e135-6587-4974-93e5-5b830f21ca70}" ref="G1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Sziget ticket
</t>
      </text>
    </comment>
    <comment authorId="91" xr:uid="{c8af2bf2-bf49-41c7-9538-ba9b4f03606f}" ref="M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yettel atiras
</t>
      </text>
    </comment>
    <comment authorId="92" xr:uid="{cbbc6fa9-8ea3-4265-a603-1a3dc19ae952}" ref="M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Szimpla SFG
</t>
      </text>
    </comment>
    <comment authorId="93" xr:uid="{cecfc492-247b-475c-b335-328b3340ac30}" ref="G1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Flower for Ana - 12th june
</t>
      </text>
    </comment>
    <comment authorId="94" xr:uid="{cef71844-5f9b-4269-b5c1-72f3619f3470}" ref="I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 mobil
</t>
      </text>
    </comment>
    <comment authorId="95" xr:uid="{cf7c12b4-f82d-4700-8b19-2ed2caf4f96e}" ref="G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yettel
</t>
      </text>
    </comment>
    <comment authorId="96" xr:uid="{d0031231-31ee-4831-8873-8d624b751aed}" ref="M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97" xr:uid="{d206fcdf-28f8-4d19-9fcb-40259383d190}" ref="K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 + Birthday Gift  massage to Ana
</t>
      </text>
    </comment>
    <comment authorId="98" xr:uid="{d4d15b73-5f93-4b06-99db-3026d92a4d45}" ref="M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Asrock monitor
</t>
      </text>
    </comment>
    <comment authorId="99" xr:uid="{d6aed3fb-fb4b-4301-85ae-b8c5a94b8b58}" ref="E3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15k to mom
</t>
      </text>
    </comment>
    <comment authorId="100" xr:uid="{d6dc0c19-e176-49bb-acf5-abd04a60f383}" ref="M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corona light
</t>
      </text>
    </comment>
    <comment authorId="101" xr:uid="{dbc8b860-77e3-4256-a025-e58baec4f4d0}" ref="K2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Warsaw trip
food+drink: 8.66+12.7+ 1.46 + 28.03+2.77+14.1 + 2.95+9.86+3.1+2.06 = 85.69
others: 1105 + 1855  + 1671= 4631
transport: 3330 + 1640+1994 = 6964
Reply:
	Holland trip:
accommodation: 37383
</t>
      </text>
    </comment>
    <comment authorId="102" xr:uid="{e3901339-3ad7-47a9-93b4-1f6c69122fe8}" ref="K27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6k - give woman back his money after magsafe cable not working
</t>
      </text>
    </comment>
    <comment authorId="103" xr:uid="{e42581b3-8992-45c1-8df9-8b22fc68ac3a}" ref="G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laptop
</t>
      </text>
    </comment>
    <comment authorId="104" xr:uid="{e61ecd19-3f7f-4c22-828c-d858dde1ec1c}" ref="K1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AOC monitor
</t>
      </text>
    </comment>
    <comment authorId="105" xr:uid="{e8834c0e-2659-4bbb-993f-16915111633f}" ref="E15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icloud
</t>
      </text>
    </comment>
    <comment authorId="106" xr:uid="{e99e197d-0ac2-4f3e-b17e-90d9efc97c51}" ref="E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icloud
</t>
      </text>
    </comment>
    <comment authorId="107" xr:uid="{e9dc7b6c-ef95-45c8-9838-1ab5e75f45d8}" ref="E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csontkovacs/chiropractor
</t>
      </text>
    </comment>
    <comment authorId="108" xr:uid="{eba534ff-84d8-4f3e-8257-55d39beba71f}" ref="G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mom
</t>
      </text>
    </comment>
    <comment authorId="109" xr:uid="{ed4dc7c6-64a5-496e-a723-e87cc707f0ce}" ref="G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airtag
Reply:
	usb-c adapter
</t>
      </text>
    </comment>
    <comment authorId="110" xr:uid="{ed832400-b444-4d0d-ba8b-b8bba1ddc9d1}" ref="G2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Julia birthday steakhouse
</t>
      </text>
    </comment>
    <comment authorId="111" xr:uid="{eef3758d-13c1-4df8-9847-26fae65613f6}" ref="I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TRip to Portugal
</t>
      </text>
    </comment>
    <comment authorId="112" xr:uid="{ef8c563d-f613-4467-8b5b-a84f328859fd}" ref="K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logi m650 - returned
</t>
      </text>
    </comment>
    <comment authorId="113" xr:uid="{f1f40f43-e83d-4540-b0b0-cf76f7536b6c}" ref="G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114" xr:uid="{f432656e-8d78-4033-b16b-a4b3fc6a0fe7}" ref="E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coffee with Ana
</t>
      </text>
    </comment>
    <comment authorId="115" xr:uid="{f976c3aa-dc59-446d-ad05-43f0c5fad92c}" ref="I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116" xr:uid="{fa941ccd-7c81-41e9-af74-b3a3e9fb8922}" ref="K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train ticket BUD -&gt; SFG
</t>
      </text>
    </comment>
    <comment authorId="117" xr:uid="{fd0f32c7-aea4-44e1-9960-0c97bc3d4d55}" ref="M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gyros brothers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tc={03b5dd1b-14b5-419b-b31d-3ef13bf3ff16}</author>
    <author>tc={0510f7b9-449b-4c56-97a5-9737cbdea002}</author>
    <author>tc={0557f43e-6b00-42ed-8289-f28eafc906f1}</author>
    <author>tc={057d7da6-b0a4-4b62-89b7-fa50f7bf196c}</author>
    <author>tc={0680b6d8-0b80-4b42-8833-a607b0cf5d80}</author>
    <author>tc={08060360-f5b1-4fc5-8609-029e8363b95e}</author>
    <author>tc={0827378a-34a2-44fb-aa01-1bf5c9ccbed2}</author>
    <author>tc={09c6931a-23ba-4cbd-9536-29bfe8f5b80e}</author>
    <author>tc={0bd9df09-f53c-4bf1-b5c1-d58d6951ecbb}</author>
    <author>tc={102abfa4-3ad5-4d0a-b7d6-054ffa512902}</author>
    <author>tc={10e310f6-d861-4124-bae5-26ad952b9bf3}</author>
    <author>tc={117b2474-7ef4-49de-b099-33101861dc7b}</author>
    <author>tc={1252fe1a-f4ce-42cc-ac68-24c60977f351}</author>
    <author>tc={17cf0193-bc08-40b9-a1ab-520a1fc7c891}</author>
    <author>tc={19632f17-55a9-433d-8579-c133714212c9}</author>
    <author>tc={216388fd-b6ad-497f-a088-31296f7f7ebc}</author>
    <author>tc={26b5aa39-1b89-4c23-9356-84c022860841}</author>
    <author>tc={2706cadf-6a64-46d6-ad8c-9e1ce8fd18b2}</author>
    <author>tc={28ff37e4-dd48-4d33-8a71-bcd255778dcf}</author>
    <author>tc={29340634-dffa-4783-aace-fc6aea47be03}</author>
    <author>tc={295d3835-e473-449e-ab3d-0bb57418f627}</author>
    <author>tc={2ab1d533-8a87-4bc9-9b2e-9b86df06c4f2}</author>
    <author>tc={2d1402a7-a874-49cf-beed-52a576d9e8fa}</author>
    <author>tc={2d77963e-ac2f-4693-828b-fe2021f0b99c}</author>
    <author>tc={33c0b06a-87ff-4ab2-a755-34c5b42f77dc}</author>
    <author>tc={35784a29-146f-4d38-89f0-b1df7200db42}</author>
    <author>tc={3b59e2f7-4576-4b1b-84aa-b654320422ee}</author>
    <author>tc={3c2f8cb7-0c81-44a7-b909-855e96b17743}</author>
    <author>tc={3ef95e17-16fb-497c-9a07-567f36d72988}</author>
    <author>tc={404e8e8d-880e-48c5-8812-d1bcd0707364}</author>
    <author>tc={40506152-34d7-454e-8549-361c1f7936da}</author>
    <author>tc={42c25e1f-9c9a-43fa-86a6-b087bbf4ffde}</author>
    <author>tc={42cfcd07-1d7d-4937-8c2a-de3181413b39}</author>
    <author>tc={45b5e491-6664-4374-9b35-a415bab338c2}</author>
    <author>tc={462a52a4-9c42-46b3-b291-177548d428fb}</author>
    <author>tc={4928cb0c-2f7f-4615-8788-a79145da2a82}</author>
    <author>tc={4a0e018e-905b-4a29-a2e6-64eaac0933ae}</author>
    <author>tc={4c676e7d-54aa-4294-ab90-b50d881bc057}</author>
    <author>tc={4c6f170f-3df5-4674-bf49-f80ed6b99301}</author>
    <author>tc={4d5a69f6-5a0a-47ea-82d3-e080f0cca3cc}</author>
    <author>tc={4ee27e13-bcea-44a3-928d-ac4d7ec1cc92}</author>
    <author>tc={50a19c9d-6da3-4433-a6b1-4ab532b6ac4d}</author>
    <author>tc={522c6921-8ab9-458d-8782-094d2eb30cda}</author>
    <author>tc={542ab210-c9f9-4cf2-8e80-9fafb5c695a6}</author>
    <author>tc={5635c7b2-722a-429b-959a-d11e9ccd2ef1}</author>
    <author>tc={56baf6bd-66f1-46ff-9bae-f385f0c04f79}</author>
    <author>tc={579797db-25d0-43b4-ac68-8dec521c4588}</author>
    <author>tc={582283a9-35bd-4073-828e-96584f4a62e3}</author>
    <author>tc={593042fc-ab35-4eec-840f-7e07b709559c}</author>
    <author>tc={5a2109ef-33be-4d26-b84b-1e76b0f00957}</author>
    <author>tc={5aa3dd6a-38bc-4290-b918-297dca10baca}</author>
    <author>tc={5bd90481-d55f-497f-a711-3d7947a4b9e2}</author>
    <author>tc={5c7f3ed2-036c-4a9e-9ba4-9267789c4b83}</author>
    <author>tc={5d8d9da1-93d8-4908-b40e-d73a46bc4f69}</author>
    <author>tc={64ce21a4-0dcc-4c15-9b35-6c7bdca2db85}</author>
    <author>tc={6d6e892d-2202-4271-b455-7faa6f1d850c}</author>
    <author>tc={6dbb694d-9336-431e-8f2f-64583d3c19f1}</author>
    <author>tc={6dc92848-2790-44e2-9707-9f286282dd78}</author>
    <author>tc={73862bbc-df08-4b4a-9814-e766e620ba4d}</author>
    <author>tc={74ba1481-5102-4b20-a84a-fcf2406aa02f}</author>
    <author>tc={74f08c1e-923b-4c78-90ee-63f36bc14586}</author>
    <author>tc={75829455-aa64-4113-9c5d-86a7fc7aed55}</author>
    <author>tc={7664485b-f83d-4e49-9609-46474fe4b566}</author>
    <author>tc={77d62725-52f1-403c-a75b-23055294163d}</author>
    <author>tc={78e4f81d-4f3a-44bc-9635-4e7d6a23fee0}</author>
    <author>tc={7975e201-acb8-49e4-9388-2540b11cbd39}</author>
    <author>tc={7a248d2e-750c-4f81-b0cd-df786d3dc655}</author>
    <author>tc={7a2df691-55dc-4580-99db-47669aa83646}</author>
    <author>tc={7ce4a4e2-c9f8-450a-929c-f0f0e1c26aaf}</author>
    <author>tc={7dbdb389-d927-42d6-8d42-ea6088f8bad0}</author>
    <author>tc={7e744de1-2559-4c66-8f20-77111d3b531e}</author>
    <author>tc={839ee221-dcb2-4b2f-b0bd-1acdc5e37965}</author>
    <author>tc={8a4cf1c2-1b65-4e38-9315-47298dae5725}</author>
    <author>tc={8c3c6094-64ed-4deb-bca9-e3f8500db37b}</author>
    <author>tc={90366e25-b872-4f66-a817-dba63cb955b9}</author>
    <author>tc={9282ba8b-1816-4653-8fa8-26d5ec7c74c0}</author>
    <author>tc={936be8bf-6c61-4059-a6d8-0f646c8db185}</author>
    <author>tc={9609ad98-6bbe-4fcc-a2e2-ccef119943f2}</author>
    <author>tc={9637cea6-c910-42bd-b21c-6b7fbe439852}</author>
    <author>tc={965daeeb-cc15-4926-8bb9-c9008a0a7bed}</author>
    <author>tc={97784a60-b1c3-49c8-b3a8-9b6eee56d8d6}</author>
    <author>tc={989d93eb-e30a-4856-80de-3dda9b5f130f}</author>
    <author>tc={995e2e93-dd4d-4129-97e4-688581013541}</author>
    <author>tc={9bc8a814-8ea9-4afd-a60b-6d55790e7e95}</author>
    <author>tc={9ca3b268-8f1c-4fc9-b27c-7a121b47a275}</author>
    <author>tc={a3bd84ef-a6b6-4750-a868-c42ea6a7f5d4}</author>
    <author>tc={a6a3d666-7753-4a73-a6ea-d1bb6903df83}</author>
    <author>tc={a76e642c-d3ae-4a33-bc05-30d881d06b49}</author>
    <author>tc={a816dc1d-e24f-489d-9b74-770cfe8a25fc}</author>
    <author>tc={ac0d82d0-9a3b-4004-aa94-8c763407c605}</author>
    <author>tc={af0bc9ac-4c6a-433a-b70d-b0fe652f7873}</author>
    <author>tc={af36b826-15bb-4a3c-ab25-4251be39627c}</author>
    <author>tc={b0d33208-e1f7-45c0-b9ac-349b4163f6c8}</author>
    <author>tc={b5473d41-84c3-4aa3-b143-6ecdd18fc850}</author>
    <author>tc={b72ffa09-2d37-49b0-a39b-e1245d2094e3}</author>
    <author>tc={ba2728bd-7afa-4815-8c52-e77db18eb41b}</author>
    <author>tc={bbd5f434-1f14-49e8-9fc6-d978b396adee}</author>
    <author>tc={c1283984-14c4-498e-b553-988f7fd3e924}</author>
    <author>tc={c288d715-77b1-4047-870c-5a5fbb4aa9c0}</author>
    <author>tc={c6cc3774-8310-45b9-8652-0141dc2d632b}</author>
    <author>tc={c6fa4553-f723-4945-bb1b-93b40cfc2ac6}</author>
    <author>tc={c712e502-2ddc-48e1-8d46-7376306472fb}</author>
    <author>tc={c9d13c70-12c3-4876-8309-75ed073d45cd}</author>
    <author>tc={c9e05f23-33af-4f75-a6aa-84ac010e25bc}</author>
    <author>tc={cbe2aef8-b05e-406f-a1c5-a87241d0811c}</author>
    <author>tc={ccf46903-dd5d-4b24-a9f1-efb1c81b7618}</author>
    <author>tc={cd940488-7dcc-4ae6-8a6a-1d89d5b35792}</author>
    <author>tc={ce8138ee-2b9e-4667-9f4a-60ee23c5c7e1}</author>
    <author>tc={cf2a9410-28f7-4c8d-8bbc-5690a9c433d7}</author>
    <author>tc={cfc23888-ac6b-4a80-aba0-1dbec195ddb9}</author>
    <author>tc={d2b2237d-7771-41e1-b01e-1dbe02a4af7d}</author>
    <author>tc={d390da06-0d7a-4903-bf69-9d5360f1507f}</author>
    <author>tc={d48a3fe4-66fb-45d7-ac77-f59c06a7a35d}</author>
    <author>tc={d79a0cf7-73af-4f4b-b295-a9ea5e8d92e8}</author>
    <author>tc={d859c4b9-acd7-40e0-a96b-2464f058a555}</author>
    <author>tc={dae7ca1f-81c3-4c47-9cc1-d5b873056ec2}</author>
    <author>tc={db17c348-e323-4657-8ee6-5a7f4af2f06d}</author>
    <author>tc={dcd77121-52a4-4137-9f51-670c8e8ab373}</author>
    <author>tc={df0eb799-af26-4c88-9132-65f588960653}</author>
    <author>tc={e0a93960-5935-4a77-a428-ec21b479542c}</author>
    <author>tc={e328534c-91ed-4174-9fdc-898db1e78aab}</author>
    <author>tc={e36d4401-fc7a-44a4-ae61-00068bc2b0be}</author>
    <author>tc={e50cecef-fea2-4ed3-9617-a5e7c71545ea}</author>
    <author>tc={e81d3afb-bfc2-4755-a0ae-0b03bf2249a3}</author>
    <author>tc={e8f0340d-b15b-498a-94b3-f8877105eeab}</author>
    <author>tc={eb83707e-0b4b-486c-bafa-34a62da50983}</author>
    <author>tc={ec3b89c9-a9d0-4595-8f1f-f7307d7a9f97}</author>
    <author>tc={f0c61740-8c3d-42bd-ad88-a2b0a2a7266f}</author>
    <author>tc={f51f30b0-5aa5-4ddf-aec4-605c20cfa4ce}</author>
    <author>tc={f5e1e403-e6b3-43b5-9628-49ebab8bd9d7}</author>
    <author>tc={f633ea38-5a18-42b8-abfa-018836723278}</author>
    <author>tc={f767bf09-1c77-405a-8eff-bc2f0ec610f4}</author>
    <author>tc={f9e4f2c8-f95a-4b3f-8dc5-e2db226d6d3c}</author>
    <author>tc={fa34dd33-79ff-4a02-8b34-217fd3d21906}</author>
    <author>tc={faec6a8a-5a2f-407b-bdd3-ac208c98941e}</author>
    <author>tc={fbac7717-5499-4199-b32b-98c076aedb24}</author>
    <author>tc={fcc564eb-766d-4c07-a080-345ea7710513}</author>
    <author>tc={fe5a4942-94a3-4437-841f-25c729f3cc24}</author>
    <author>tc={fe7bd447-e32e-49e0-94b2-7b9c27fd9505}</author>
    <author>tc={ffee2d0a-debe-4c9e-ab6e-8382eea9f7a2}</author>
  </authors>
  <commentList>
    <comment authorId="0" xr:uid="{03b5dd1b-14b5-419b-b31d-3ef13bf3ff16}" ref="J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ea fc 24
</t>
      </text>
    </comment>
    <comment authorId="1" xr:uid="{0510f7b9-449b-4c56-97a5-9737cbdea002}" ref="L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adidas - red sweatshirt
</t>
      </text>
    </comment>
    <comment authorId="2" xr:uid="{0557f43e-6b00-42ed-8289-f28eafc906f1}" ref="F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Vinted - AJAX SHIRT
</t>
      </text>
    </comment>
    <comment authorId="3" xr:uid="{057d7da6-b0a4-4b62-89b7-fa50f7bf196c}" ref="J3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 - socks
</t>
      </text>
    </comment>
    <comment authorId="4" xr:uid="{0680b6d8-0b80-4b42-8833-a607b0cf5d80}" ref="L3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cafe mr. beans
</t>
      </text>
    </comment>
    <comment authorId="5" xr:uid="{08060360-f5b1-4fc5-8609-029e8363b95e}" ref="J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Vanessa date - coffee
Reply:
	rizmajer
</t>
      </text>
    </comment>
    <comment authorId="6" xr:uid="{0827378a-34a2-44fb-aa01-1bf5c9ccbed2}" ref="H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 grey sweater
</t>
      </text>
    </comment>
    <comment authorId="7" xr:uid="{09c6931a-23ba-4cbd-9536-29bfe8f5b80e}" ref="H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temu order
</t>
      </text>
    </comment>
    <comment authorId="8" xr:uid="{0bd9df09-f53c-4bf1-b5c1-d58d6951ecbb}" ref="L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birthday stuff - drinks for party + gift bag, card
Reply:
	Flower bouquet
Reply:
	APE REGINA DATE
</t>
      </text>
    </comment>
    <comment authorId="9" xr:uid="{102abfa4-3ad5-4d0a-b7d6-054ffa512902}" ref="J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rizmajer for Attila
</t>
      </text>
    </comment>
    <comment authorId="10" xr:uid="{10e310f6-d861-4124-bae5-26ad952b9bf3}" ref="N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belt
</t>
      </text>
    </comment>
    <comment authorId="11" xr:uid="{117b2474-7ef4-49de-b099-33101861dc7b}" ref="F2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DEPOSIT + RENT
</t>
      </text>
    </comment>
    <comment authorId="12" xr:uid="{1252fe1a-f4ce-42cc-ac68-24c60977f351}" ref="J3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 A4-SFX v3
</t>
      </text>
    </comment>
    <comment authorId="13" xr:uid="{17cf0193-bc08-40b9-a1ab-520a1fc7c891}" ref="J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Prague with Ana
Összesen 1 reakció
Ervin Dobri ezzel reagált: 🥰 (2023-11-05 9:59 AM UTC)
</t>
      </text>
    </comment>
    <comment authorId="14" xr:uid="{19632f17-55a9-433d-8579-c133714212c9}" ref="N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simon's burger
</t>
      </text>
    </comment>
    <comment authorId="15" xr:uid="{216388fd-b6ad-497f-a088-31296f7f7ebc}" ref="J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- birthday gift - JBL Tune flex
</t>
      </text>
    </comment>
    <comment authorId="16" xr:uid="{26b5aa39-1b89-4c23-9356-84c022860841}" ref="N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bartok fagyi + gellert pekseg - tejfolos tekercs
Reply:
	vapiano - wolt order
</t>
      </text>
    </comment>
    <comment authorId="17" xr:uid="{2706cadf-6a64-46d6-ad8c-9e1ce8fd18b2}" ref="N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</t>
      </text>
    </comment>
    <comment authorId="18" xr:uid="{28ff37e4-dd48-4d33-8a71-bcd255778dcf}" ref="H1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 jeans
Reply:
	Zara white tees and black pants
</t>
      </text>
    </comment>
    <comment authorId="19" xr:uid="{29340634-dffa-4783-aace-fc6aea47be03}" ref="J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 phone
</t>
      </text>
    </comment>
    <comment authorId="20" xr:uid="{295d3835-e473-449e-ab3d-0bb57418f627}" ref="F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bumble 2k
</t>
      </text>
    </comment>
    <comment authorId="21" xr:uid="{2ab1d533-8a87-4bc9-9b2e-9b86df06c4f2}" ref="F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mol bubi
</t>
      </text>
    </comment>
    <comment authorId="22" xr:uid="{2d1402a7-a874-49cf-beed-52a576d9e8fa}" ref="H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Ana - for the desk
Reply:
	Ana - intimissi
</t>
      </text>
    </comment>
    <comment authorId="23" xr:uid="{2d77963e-ac2f-4693-828b-fe2021f0b99c}" ref="H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decathlon shorts
</t>
      </text>
    </comment>
    <comment authorId="24" xr:uid="{33c0b06a-87ff-4ab2-a755-34c5b42f77dc}" ref="N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burger king
Reply:
	savyo gulash pizza
</t>
      </text>
    </comment>
    <comment authorId="25" xr:uid="{35784a29-146f-4d38-89f0-b1df7200db42}" ref="L3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26" xr:uid="{3b59e2f7-4576-4b1b-84aa-b654320422ee}" ref="J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dm - sunscreen
</t>
      </text>
    </comment>
    <comment authorId="27" xr:uid="{3c2f8cb7-0c81-44a7-b909-855e96b17743}" ref="H2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lot of food for home + other stuff
</t>
      </text>
    </comment>
    <comment authorId="28" xr:uid="{3ef95e17-16fb-497c-9a07-567f36d72988}" ref="L30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bolt
</t>
      </text>
    </comment>
    <comment authorId="29" xr:uid="{404e8e8d-880e-48c5-8812-d1bcd0707364}" ref="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Keychron K3 keyboard
</t>
      </text>
    </comment>
    <comment authorId="30" xr:uid="{40506152-34d7-454e-8549-361c1f7936da}" ref="F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pizza manufaktura
</t>
      </text>
    </comment>
    <comment authorId="31" xr:uid="{42c25e1f-9c9a-43fa-86a6-b087bbf4ffde}" ref="F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Reserved grey pants
</t>
      </text>
    </comment>
    <comment authorId="32" xr:uid="{42cfcd07-1d7d-4937-8c2a-de3181413b39}" ref="F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foxpost
</t>
      </text>
    </comment>
    <comment authorId="33" xr:uid="{45b5e491-6664-4374-9b35-a415bab338c2}" ref="F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tinder
</t>
      </text>
    </comment>
    <comment authorId="34" xr:uid="{462a52a4-9c42-46b3-b291-177548d428fb}" ref="L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Reply:
	massage
</t>
      </text>
    </comment>
    <comment authorId="35" xr:uid="{4928cb0c-2f7f-4615-8788-a79145da2a82}" ref="H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nachos
</t>
      </text>
    </comment>
    <comment authorId="36" xr:uid="{4a0e018e-905b-4a29-a2e6-64eaac0933ae}" ref="H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footshop - 3x adidas socks
Reply:
	zara - black tag intense perfume
</t>
      </text>
    </comment>
    <comment authorId="37" xr:uid="{4c676e7d-54aa-4294-ab90-b50d881bc057}" ref="H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ikea - towel
</t>
      </text>
    </comment>
    <comment authorId="38" xr:uid="{4c6f170f-3df5-4674-bf49-f80ed6b99301}" ref="H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big ben teahaz
</t>
      </text>
    </comment>
    <comment authorId="39" xr:uid="{4d5a69f6-5a0a-47ea-82d3-e080f0cca3cc}" ref="N3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SZEGED
</t>
      </text>
    </comment>
    <comment authorId="40" xr:uid="{4ee27e13-bcea-44a3-928d-ac4d7ec1cc92}" ref="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Italy spent in Euro
</t>
      </text>
    </comment>
    <comment authorId="41" xr:uid="{50a19c9d-6da3-4433-a6b1-4ab532b6ac4d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berleti + rezsi - gazszereles
</t>
      </text>
    </comment>
    <comment authorId="42" xr:uid="{522c6921-8ab9-458d-8782-094d2eb30cda}" ref="L2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</t>
      </text>
    </comment>
    <comment authorId="43" xr:uid="{542ab210-c9f9-4cf2-8e80-9fafb5c695a6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Attila transport SFG -&gt; BUD
</t>
      </text>
    </comment>
    <comment authorId="44" xr:uid="{5635c7b2-722a-429b-959a-d11e9ccd2ef1}" ref="J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carhartt beanie + boxers
Reply:
	ecipo - elegant shoes
Reply:
	17034 - vinted TNF jacket
Reply:
	hada - leicester city football shorts
</t>
      </text>
    </comment>
    <comment authorId="45" xr:uid="{56baf6bd-66f1-46ff-9bae-f385f0c04f79}" ref="N2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 phone
</t>
      </text>
    </comment>
    <comment authorId="46" xr:uid="{579797db-25d0-43b4-ac68-8dec521c4588}" ref="F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47" xr:uid="{582283a9-35bd-4073-828e-96584f4a62e3}" ref="N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9310 - trattoria za za date
</t>
      </text>
    </comment>
    <comment authorId="48" xr:uid="{593042fc-ab35-4eec-840f-7e07b709559c}" ref="H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BERTIS mici ;)
</t>
      </text>
    </comment>
    <comment authorId="49" xr:uid="{5a2109ef-33be-4d26-b84b-1e76b0f00957}" ref="J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curj-pho
</t>
      </text>
    </comment>
    <comment authorId="50" xr:uid="{5aa3dd6a-38bc-4290-b918-297dca10baca}" ref="J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80k - SZIGET
</t>
      </text>
    </comment>
    <comment authorId="51" xr:uid="{5bd90481-d55f-497f-a711-3d7947a4b9e2}" ref="H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drum cafe with hiago
</t>
      </text>
    </comment>
    <comment authorId="52" xr:uid="{5c7f3ed2-036c-4a9e-9ba4-9267789c4b83}" ref="N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53" xr:uid="{5d8d9da1-93d8-4908-b40e-d73a46bc4f69}" ref="H2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warm ups
</t>
      </text>
    </comment>
    <comment authorId="54" xr:uid="{64ce21a4-0dcc-4c15-9b35-6c7bdca2db85}" ref="J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bolt - bakats ter
</t>
      </text>
    </comment>
    <comment authorId="55" xr:uid="{6d6e892d-2202-4271-b455-7faa6f1d850c}" ref="H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Ikea sutotal
</t>
      </text>
    </comment>
    <comment authorId="56" xr:uid="{6dbb694d-9336-431e-8f2f-64583d3c19f1}" ref="F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Praha - day 2
Reply:
	day1+2+3
</t>
      </text>
    </comment>
    <comment authorId="57" xr:uid="{6dc92848-2790-44e2-9707-9f286282dd78}" ref="F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bumble
</t>
      </text>
    </comment>
    <comment authorId="58" xr:uid="{73862bbc-df08-4b4a-9814-e766e620ba4d}" ref="L1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DRESDEN TRIP - TOTAL ~549,17 euro spent 
(including food, drinks, transport, museum, fashion, accommodation &amp; other categories)
</t>
      </text>
    </comment>
    <comment authorId="59" xr:uid="{74ba1481-5102-4b20-a84a-fcf2406aa02f}" ref="F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Bartók House - cafe with Ana
</t>
      </text>
    </comment>
    <comment authorId="60" xr:uid="{74f08c1e-923b-4c78-90ee-63f36bc14586}" ref="L2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cinema mammut - megfojtott viragok
Reply:
	bob ross - paroka
</t>
      </text>
    </comment>
    <comment authorId="61" xr:uid="{75829455-aa64-4113-9c5d-86a7fc7aed55}" ref="J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NETFLIX X2
</t>
      </text>
    </comment>
    <comment authorId="62" xr:uid="{7664485b-f83d-4e49-9609-46474fe4b566}" ref="J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 mobil
</t>
      </text>
    </comment>
    <comment authorId="63" xr:uid="{77d62725-52f1-403c-a75b-23055294163d}" ref="N17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vinted shoes adidas continental 80
</t>
      </text>
    </comment>
    <comment authorId="64" xr:uid="{78e4f81d-4f3a-44bc-9635-4e7d6a23fee0}" ref="N2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bolt
</t>
      </text>
    </comment>
    <comment authorId="65" xr:uid="{7975e201-acb8-49e4-9388-2540b11cbd39}" ref="H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SZIGET STUFF
</t>
      </text>
    </comment>
    <comment authorId="66" xr:uid="{7a248d2e-750c-4f81-b0cd-df786d3dc655}" ref="F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HUN - MON meccsjegy
</t>
      </text>
    </comment>
    <comment authorId="67" xr:uid="{7a2df691-55dc-4580-99db-47669aa83646}" ref="F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open house drinks
</t>
      </text>
    </comment>
    <comment authorId="68" xr:uid="{7ce4a4e2-c9f8-450a-929c-f0f0e1c26aaf}" ref="H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foci
</t>
      </text>
    </comment>
    <comment authorId="69" xr:uid="{7dbdb389-d927-42d6-8d42-ea6088f8bad0}" ref="F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 x2
</t>
      </text>
    </comment>
    <comment authorId="70" xr:uid="{7e744de1-2559-4c66-8f20-77111d3b531e}" ref="F3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foxpost - package sent
</t>
      </text>
    </comment>
    <comment authorId="71" xr:uid="{839ee221-dcb2-4b2f-b0bd-1acdc5e37965}" ref="H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helixsoft payment
</t>
      </text>
    </comment>
    <comment authorId="72" xr:uid="{8a4cf1c2-1b65-4e38-9315-47298dae5725}" ref="F20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kik x4boxers + socks
</t>
      </text>
    </comment>
    <comment authorId="73" xr:uid="{8c3c6094-64ed-4deb-bca9-e3f8500db37b}" ref="L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</t>
      </text>
    </comment>
    <comment authorId="74" xr:uid="{90366e25-b872-4f66-a817-dba63cb955b9}" ref="J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DRESDEN
</t>
      </text>
    </comment>
    <comment authorId="75" xr:uid="{9282ba8b-1816-4653-8fa8-26d5ec7c74c0}" ref="L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fotel
Reply:
	zara parfum
</t>
      </text>
    </comment>
    <comment authorId="76" xr:uid="{936be8bf-6c61-4059-a6d8-0f646c8db185}" ref="F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haircut
</t>
      </text>
    </comment>
    <comment authorId="77" xr:uid="{9609ad98-6bbe-4fcc-a2e2-ccef119943f2}" ref="N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new years food
</t>
      </text>
    </comment>
    <comment authorId="78" xr:uid="{9637cea6-c910-42bd-b21c-6b7fbe439852}" ref="H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</t>
      </text>
    </comment>
    <comment authorId="79" xr:uid="{965daeeb-cc15-4926-8bb9-c9008a0a7bed}" ref="F2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AIRBNB
</t>
      </text>
    </comment>
    <comment authorId="80" xr:uid="{97784a60-b1c3-49c8-b3a8-9b6eee56d8d6}" ref="L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cinema city
</t>
      </text>
    </comment>
    <comment authorId="81" xr:uid="{989d93eb-e30a-4856-80de-3dda9b5f130f}" ref="H3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sold Jonsbo T8 case
</t>
      </text>
    </comment>
    <comment authorId="82" xr:uid="{995e2e93-dd4d-4129-97e4-688581013541}" ref="L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kepkeret
</t>
      </text>
    </comment>
    <comment authorId="83" xr:uid="{9bc8a814-8ea9-4afd-a60b-6d55790e7e95}" ref="J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mozi - shazam
</t>
      </text>
    </comment>
    <comment authorId="84" xr:uid="{9ca3b268-8f1c-4fc9-b27c-7a121b47a275}" ref="J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Pho with Theo
</t>
      </text>
    </comment>
    <comment authorId="85" xr:uid="{a3bd84ef-a6b6-4750-a868-c42ea6a7f5d4}" ref="F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 music
</t>
      </text>
    </comment>
    <comment authorId="86" xr:uid="{a6a3d666-7753-4a73-a6ea-d1bb6903df83}" ref="L2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AIRBNB
</t>
      </text>
    </comment>
    <comment authorId="87" xr:uid="{a76e642c-d3ae-4a33-bc05-30d881d06b49}" ref="N2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 - day1
</t>
      </text>
    </comment>
    <comment authorId="88" xr:uid="{a816dc1d-e24f-489d-9b74-770cfe8a25fc}" ref="H2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simon's burger with Ana
Reply:
	A la gringa with Ana - 1 month
</t>
      </text>
    </comment>
    <comment authorId="89" xr:uid="{ac0d82d0-9a3b-4004-aa94-8c763407c605}" ref="L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wittchen - borond
</t>
      </text>
    </comment>
    <comment authorId="90" xr:uid="{af0bc9ac-4c6a-433a-b70d-b0fe652f7873}" ref="H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5521 - telekom april bill
</t>
      </text>
    </comment>
    <comment authorId="91" xr:uid="{af36b826-15bb-4a3c-ab25-4251be39627c}" ref="H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disney +
Reply:
	youtube music
</t>
      </text>
    </comment>
    <comment authorId="92" xr:uid="{b0d33208-e1f7-45c0-b9ac-349b4163f6c8}" ref="H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bumble 2k
</t>
      </text>
    </comment>
    <comment authorId="93" xr:uid="{b5473d41-84c3-4aa3-b143-6ecdd18fc850}" ref="L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dinner
</t>
      </text>
    </comment>
    <comment authorId="94" xr:uid="{b72ffa09-2d37-49b0-a39b-e1245d2094e3}" ref="L3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passport 5year
</t>
      </text>
    </comment>
    <comment authorId="95" xr:uid="{ba2728bd-7afa-4815-8c52-e77db18eb41b}" ref="F1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Kendrick poster
</t>
      </text>
    </comment>
    <comment authorId="96" xr:uid="{bbd5f434-1f14-49e8-9fc6-d978b396adee}" ref="H2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cake from Amanda
</t>
      </text>
    </comment>
    <comment authorId="97" xr:uid="{c1283984-14c4-498e-b553-988f7fd3e924}" ref="J3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salary december
</t>
      </text>
    </comment>
    <comment authorId="98" xr:uid="{c288d715-77b1-4047-870c-5a5fbb4aa9c0}" ref="H3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youtube music
Reply:
	disney+
</t>
      </text>
    </comment>
    <comment authorId="99" xr:uid="{c6cc3774-8310-45b9-8652-0141dc2d632b}" ref="F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big ben teahaz
</t>
      </text>
    </comment>
    <comment authorId="100" xr:uid="{c6fa4553-f723-4945-bb1b-93b40cfc2ac6}" ref="F1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bubbles - wash &amp; dry + paid for someone (3k) in return got 5k
</t>
      </text>
    </comment>
    <comment authorId="101" xr:uid="{c712e502-2ddc-48e1-8d46-7376306472fb}" ref="H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cinema i didnt go to
</t>
      </text>
    </comment>
    <comment authorId="102" xr:uid="{c9d13c70-12c3-4876-8309-75ed073d45cd}" ref="N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massage
</t>
      </text>
    </comment>
    <comment authorId="103" xr:uid="{c9e05f23-33af-4f75-a6aa-84ac010e25bc}" ref="J2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LACK asztal
</t>
      </text>
    </comment>
    <comment authorId="104" xr:uid="{cbe2aef8-b05e-406f-a1c5-a87241d0811c}" ref="L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mango - shirt + polo;
c&amp;a - shirt
</t>
      </text>
    </comment>
    <comment authorId="105" xr:uid="{ccf46903-dd5d-4b24-a9f1-efb1c81b7618}" ref="L2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calvin klein boxers
</t>
      </text>
    </comment>
    <comment authorId="106" xr:uid="{cd940488-7dcc-4ae6-8a6a-1d89d5b35792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Fifa 23
</t>
      </text>
    </comment>
    <comment authorId="107" xr:uid="{ce8138ee-2b9e-4667-9f4a-60ee23c5c7e1}" ref="H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neocitran
Reply:
	massage
</t>
      </text>
    </comment>
    <comment authorId="108" xr:uid="{cf2a9410-28f7-4c8d-8bbc-5690a9c433d7}" ref="F20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
</t>
      </text>
    </comment>
    <comment authorId="109" xr:uid="{cfc23888-ac6b-4a80-aba0-1dbec195ddb9}" ref="J1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nyakkendo
Reply:
	deichmann - talpbetet
</t>
      </text>
    </comment>
    <comment authorId="110" xr:uid="{d2b2237d-7771-41e1-b01e-1dbe02a4af7d}" ref="J1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Flight 08.17-08.21
</t>
      </text>
    </comment>
    <comment authorId="111" xr:uid="{d390da06-0d7a-4903-bf69-9d5360f1507f}" ref="J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digi
</t>
      </text>
    </comment>
    <comment authorId="112" xr:uid="{d48a3fe4-66fb-45d7-ac77-f59c06a7a35d}" ref="N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simon's burger
</t>
      </text>
    </comment>
    <comment authorId="113" xr:uid="{d79a0cf7-73af-4f4b-b295-a9ea5e8d92e8}" ref="H3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gift to Amanda
</t>
      </text>
    </comment>
    <comment authorId="114" xr:uid="{d859c4b9-acd7-40e0-a96b-2464f058a555}" ref="H30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Hot paprika show  - Tickets x2
</t>
      </text>
    </comment>
    <comment authorId="115" xr:uid="{dae7ca1f-81c3-4c47-9cc1-d5b873056ec2}" ref="F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telekom
Reply:
	march bill + overdue days + inflation correction
</t>
      </text>
    </comment>
    <comment authorId="116" xr:uid="{db17c348-e323-4657-8ee6-5a7f4af2f06d}" ref="J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 in Babka
</t>
      </text>
    </comment>
    <comment authorId="117" xr:uid="{dcd77121-52a4-4137-9f51-670c8e8ab373}" ref="J2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2xcappuccino from zabrakadabra
</t>
      </text>
    </comment>
    <comment authorId="118" xr:uid="{df0eb799-af26-4c88-9132-65f588960653}" ref="H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mozi - galaxis orzoi 3
</t>
      </text>
    </comment>
    <comment authorId="119" xr:uid="{e0a93960-5935-4a77-a428-ec21b479542c}" ref="F2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ergonomic office chair
</t>
      </text>
    </comment>
    <comment authorId="120" xr:uid="{e328534c-91ed-4174-9fdc-898db1e78aab}" ref="F1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boulder
</t>
      </text>
    </comment>
    <comment authorId="121" xr:uid="{e36d4401-fc7a-44a4-ae61-00068bc2b0be}" ref="J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wolt - gringos amigos - quesadilla
Reply:
	wolt - 2soups from drum cafe
Reply:
	simon's burger - with theo
</t>
      </text>
    </comment>
    <comment authorId="122" xr:uid="{e50cecef-fea2-4ed3-9617-a5e7c71545ea}" ref="J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 - 2x filling
</t>
      </text>
    </comment>
    <comment authorId="123" xr:uid="{e81d3afb-bfc2-4755-a0ae-0b03bf2249a3}" ref="L2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back from dresden
Reply:
	21.10
</t>
      </text>
    </comment>
    <comment authorId="124" xr:uid="{e8f0340d-b15b-498a-94b3-f8877105eeab}" ref="N30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canesten
</t>
      </text>
    </comment>
    <comment authorId="125" xr:uid="{eb83707e-0b4b-486c-bafa-34a62da50983}" ref="J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mol bubi
</t>
      </text>
    </comment>
    <comment authorId="126" xr:uid="{ec3b89c9-a9d0-4595-8f1f-f7307d7a9f97}" ref="L9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napszemcsi
Reply:
	bethrifty - shirt
Reply:
	TNF NUPTSE 1996
</t>
      </text>
    </comment>
    <comment authorId="127" xr:uid="{f0c61740-8c3d-42bd-ad88-a2b0a2a7266f}" ref="N2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brazilian halloween party
</t>
      </text>
    </comment>
    <comment authorId="128" xr:uid="{f51f30b0-5aa5-4ddf-aec4-605c20cfa4ce}" ref="H2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+ingredients for Escondidinho
</t>
      </text>
    </comment>
    <comment authorId="129" xr:uid="{f5e1e403-e6b3-43b5-9628-49ebab8bd9d7}" ref="F3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lunch at Julias'
</t>
      </text>
    </comment>
    <comment authorId="130" xr:uid="{f633ea38-5a18-42b8-abfa-018836723278}" ref="L2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indigo
</t>
      </text>
    </comment>
    <comment authorId="131" xr:uid="{f767bf09-1c77-405a-8eff-bc2f0ec610f4}" ref="F20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pizza manufaktura
</t>
      </text>
    </comment>
    <comment authorId="132" xr:uid="{f9e4f2c8-f95a-4b3f-8dc5-e2db226d6d3c}" ref="F3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lunch with the BR guys
</t>
      </text>
    </comment>
    <comment authorId="133" xr:uid="{fa34dd33-79ff-4a02-8b34-217fd3d21906}" ref="L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mozi - blue beettle
</t>
      </text>
    </comment>
    <comment authorId="134" xr:uid="{faec6a8a-5a2f-407b-bdd3-ac208c98941e}" ref="H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Cert. nastere forditas - OFFI
</t>
      </text>
    </comment>
    <comment authorId="135" xr:uid="{fbac7717-5499-4199-b32b-98c076aedb24}" ref="N3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christmas gift - Ana Paula
</t>
      </text>
    </comment>
    <comment authorId="136" xr:uid="{fcc564eb-766d-4c07-a080-345ea7710513}" ref="N1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telekom - may
</t>
      </text>
    </comment>
    <comment authorId="137" xr:uid="{fe5a4942-94a3-4437-841f-25c729f3cc24}" ref="H2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IKEA STUFF + desk
</t>
      </text>
    </comment>
    <comment authorId="138" xr:uid="{fe7bd447-e32e-49e0-94b2-7b9c27fd9505}" ref="F1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5299 - condom
Reply:
	2500 - pulp fiction tabla
</t>
      </text>
    </comment>
    <comment authorId="139" xr:uid="{ffee2d0a-debe-4c9e-ab6e-8382eea9f7a2}" ref="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BKK berlet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tc={09f5bfe8-2c59-4954-b091-b0f2fe643062}</author>
    <author>tc={0c92be5f-4055-47fc-ad75-ccfb095a545f}</author>
    <author>tc={17bafac0-72f6-495d-968a-fe976b0fddb4}</author>
    <author>tc={23de8b0a-4147-49dc-bf01-cc6f48f45ad6}</author>
    <author>tc={26b78554-a197-4b24-b308-07a71d311bd8}</author>
    <author>tc={31450f89-089f-48de-8cb6-56d5089084a1}</author>
    <author>tc={31886915-b370-443d-b2d8-9db98ddc0aca}</author>
    <author>tc={44cb2dc6-f78c-4db2-9c81-08bdacc219ac}</author>
    <author>tc={4cc1a327-85b3-407a-b288-077fb7a07f8e}</author>
    <author>tc={4f82fe25-45d8-4583-a826-639404c120ce}</author>
    <author>tc={5010d32a-6540-4da0-8912-ebc691544ada}</author>
    <author>tc={5df9284d-3d05-47b3-bde5-c11eb4aab6b2}</author>
    <author>tc={684b3043-7ad3-4ead-a9e8-d89df1c62ca2}</author>
    <author>tc={68f6f3b2-58e8-402a-9283-21762adf48e8}</author>
    <author>tc={6d8703b6-f3e0-4a84-8a09-eb5c52c84357}</author>
    <author>tc={7148bbae-a926-40c6-9d4e-90a2ecb65c10}</author>
    <author>tc={73535c3f-8778-44bb-8bc6-5c654924222a}</author>
    <author>tc={77361c2d-d54d-4da3-8779-0b19979f6807}</author>
    <author>tc={77c87049-bf22-4f7b-8fc0-63edf2a97096}</author>
    <author>tc={7801609f-3311-4154-9789-e70ce139e1b0}</author>
    <author>tc={92c6bd49-fec5-4346-a020-886fe2be7a14}</author>
    <author>tc={b9f9d6b5-ae35-48e1-a18b-2cfb8601ad75}</author>
    <author>tc={bcf90cd1-6fe6-4a2b-9370-0ad759b360fd}</author>
    <author>tc={c28cc21a-0b99-4ee3-b782-f084b4f0a5cd}</author>
    <author>tc={c3789643-3269-486c-a2f8-a7659792ec34}</author>
    <author>tc={c569cb1e-00d7-4e05-a865-09a0530d513d}</author>
    <author>tc={e06f3371-4a19-4845-ad33-3551b465b5ff}</author>
    <author>tc={e84ee6ee-4585-4e61-a569-3adba36a4fe7}</author>
    <author>tc={f43a6680-72da-4347-b369-b1e34dec64bd}</author>
    <author>tc={f60d4e2d-0460-4dd4-bdf7-ce1423f76da9}</author>
    <author>tc={f6f7bb2b-140a-44ce-b102-210747081855}</author>
    <author>tc={fa336de7-608d-415e-8b9c-1c37a841402d}</author>
  </authors>
  <commentList>
    <comment authorId="0" xr:uid="{09f5bfe8-2c59-4954-b091-b0f2fe643062}" ref="A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kaucio + airbnb(BRAT) + airbnb(PRAHA)
</t>
      </text>
    </comment>
    <comment authorId="1" xr:uid="{0c92be5f-4055-47fc-ad75-ccfb095a545f}" ref="J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lidl+tesco in czechoslovakia
</t>
      </text>
    </comment>
    <comment authorId="2" xr:uid="{17bafac0-72f6-495d-968a-fe976b0fddb4}" ref="Z5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BP-&gt;MS fuvar
</t>
      </text>
    </comment>
    <comment authorId="3" xr:uid="{23de8b0a-4147-49dc-bf01-cc6f48f45ad6}" ref="J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traveling eating out
</t>
      </text>
    </comment>
    <comment authorId="4" xr:uid="{26b78554-a197-4b24-b308-07a71d311bd8}" ref="I5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Kirandulas visszajaro Szilvitol
</t>
      </text>
    </comment>
    <comment authorId="5" xr:uid="{31450f89-089f-48de-8cb6-56d5089084a1}" ref="J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weed
</t>
      </text>
    </comment>
    <comment authorId="6" xr:uid="{31886915-b370-443d-b2d8-9db98ddc0aca}" ref="T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hada - dzseki
</t>
      </text>
    </comment>
    <comment authorId="7" xr:uid="{44cb2dc6-f78c-4db2-9c81-08bdacc219ac}" ref="W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telekom internet
</t>
      </text>
    </comment>
    <comment authorId="8" xr:uid="{4cc1a327-85b3-407a-b288-077fb7a07f8e}" ref="L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33677 - kozjegyzo
Reply:
	1600 - digi
</t>
      </text>
    </comment>
    <comment authorId="9" xr:uid="{4f82fe25-45d8-4583-a826-639404c120ce}" ref="Z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kazan szereles
</t>
      </text>
    </comment>
    <comment authorId="10" xr:uid="{5010d32a-6540-4da0-8912-ebc691544ada}" ref="U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kantin
</t>
      </text>
    </comment>
    <comment authorId="11" xr:uid="{5df9284d-3d05-47b3-bde5-c11eb4aab6b2}" ref="V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nyakvedo+zarabluzz
</t>
      </text>
    </comment>
    <comment authorId="12" xr:uid="{684b3043-7ad3-4ead-a9e8-d89df1c62ca2}" ref="Y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Airbnb italia
Reply:
	BKK berlet
</t>
      </text>
    </comment>
    <comment authorId="13" xr:uid="{68f6f3b2-58e8-402a-9283-21762adf48e8}" ref="U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Adidas originals trainers
Reply:
	+ Zara kek Farmer
</t>
      </text>
    </comment>
    <comment authorId="14" xr:uid="{6d8703b6-f3e0-4a84-8a09-eb5c52c84357}" ref="V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
</t>
      </text>
    </comment>
    <comment authorId="15" xr:uid="{7148bbae-a926-40c6-9d4e-90a2ecb65c10}" ref="J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black denim pants
</t>
      </text>
    </comment>
    <comment authorId="16" xr:uid="{73535c3f-8778-44bb-8bc6-5c654924222a}" ref="K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bubbles mosoda
</t>
      </text>
    </comment>
    <comment authorId="17" xr:uid="{77361c2d-d54d-4da3-8779-0b19979f6807}" ref="J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roaming
</t>
      </text>
    </comment>
    <comment authorId="18" xr:uid="{77c87049-bf22-4f7b-8fc0-63edf2a97096}" ref="V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esernyo
</t>
      </text>
    </comment>
    <comment authorId="19" xr:uid="{7801609f-3311-4154-9789-e70ce139e1b0}" ref="X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foci x11
</t>
      </text>
    </comment>
    <comment authorId="20" xr:uid="{92c6bd49-fec5-4346-a020-886fe2be7a14}" ref="AA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[21-28)
</t>
      </text>
    </comment>
    <comment authorId="21" xr:uid="{b9f9d6b5-ae35-48e1-a18b-2cfb8601ad75}" ref="AA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telekom otthoni internet
</t>
      </text>
    </comment>
    <comment authorId="22" xr:uid="{bcf90cd1-6fe6-4a2b-9370-0ad759b360fd}" ref="N5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dentist - 10k
+ haircut - 4k
Reply:
	+ footballx3
</t>
      </text>
    </comment>
    <comment authorId="23" xr:uid="{c28cc21a-0b99-4ee3-b782-f084b4f0a5cd}" ref="X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foci + new world
</t>
      </text>
    </comment>
    <comment authorId="24" xr:uid="{c3789643-3269-486c-a2f8-a7659792ec34}" ref="I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Watch + External HDD
</t>
      </text>
    </comment>
    <comment authorId="25" xr:uid="{c569cb1e-00d7-4e05-a865-09a0530d513d}" ref="M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 kabat
</t>
      </text>
    </comment>
    <comment authorId="26" xr:uid="{e06f3371-4a19-4845-ad33-3551b465b5ff}" ref="J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aliexpress - phone stand + adapters
Reply:
	+ szilvinek a dm rendeles
</t>
      </text>
    </comment>
    <comment authorId="27" xr:uid="{e84ee6ee-4585-4e61-a569-3adba36a4fe7}" ref="N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zara - 2turtleneck + blue shirt
Reply:
	zara - kabat
</t>
      </text>
    </comment>
    <comment authorId="28" xr:uid="{f43a6680-72da-4347-b369-b1e34dec64bd}" ref="J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TODO: traveling &amp; airbnb costs
Reply:
	public transport
</t>
      </text>
    </comment>
    <comment authorId="29" xr:uid="{f60d4e2d-0460-4dd4-bdf7-ce1423f76da9}" ref="AB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[28-31]
</t>
      </text>
    </comment>
    <comment authorId="30" xr:uid="{f6f7bb2b-140a-44ce-b102-210747081855}" ref="Z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repter szendvics
</t>
      </text>
    </comment>
    <comment authorId="31" xr:uid="{fa336de7-608d-415e-8b9c-1c37a841402d}" ref="T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xbox controller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tc={21e12efd-c6fd-46f9-afa1-615f01c8cbf5}</author>
    <author>tc={35629dfe-2035-474c-8505-68f29af13c27}</author>
    <author>tc={85c6859f-045e-46ca-b1fd-0fb6e4ed157c}</author>
  </authors>
  <commentList>
    <comment authorId="0" xr:uid="{21e12efd-c6fd-46f9-afa1-615f01c8cbf5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TODO: CORRECT
</t>
      </text>
    </comment>
    <comment authorId="1" xr:uid="{35629dfe-2035-474c-8505-68f29af13c27}" ref="V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TODO: set this value as the last invested value, for the current months last day
</t>
      </text>
    </comment>
    <comment authorId="2" xr:uid="{85c6859f-045e-46ca-b1fd-0fb6e4ed157c}" ref="Z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adjusted - july 20th
</t>
      </text>
    </comment>
  </commentList>
</comments>
</file>

<file path=xl/sharedStrings.xml><?xml version="1.0" encoding="utf-8"?>
<sst xmlns="http://schemas.openxmlformats.org/spreadsheetml/2006/main" count="1965" uniqueCount="264">
  <si>
    <t>Last updated</t>
  </si>
  <si>
    <t>Available to budget</t>
  </si>
  <si>
    <t>Spent this month</t>
  </si>
  <si>
    <t>Budgeted this month</t>
  </si>
  <si>
    <t> </t>
  </si>
  <si>
    <t>January</t>
  </si>
  <si>
    <t>CATEGORY</t>
  </si>
  <si>
    <t>WEEK1 (1-6)</t>
  </si>
  <si>
    <t>WEEK2(7-13)</t>
  </si>
  <si>
    <t>WEEK3 (14-20)</t>
  </si>
  <si>
    <t>WEEK4 (21-27)</t>
  </si>
  <si>
    <t>WEEK5 (23-31)</t>
  </si>
  <si>
    <t>TOTAL</t>
  </si>
  <si>
    <t>🛍️ Expenses</t>
  </si>
  <si>
    <t>Pending transactions</t>
  </si>
  <si>
    <t>WEEK1</t>
  </si>
  <si>
    <t>WEEK2</t>
  </si>
  <si>
    <t>WEEK3</t>
  </si>
  <si>
    <t>WEEK4</t>
  </si>
  <si>
    <t>WEEK5</t>
  </si>
  <si>
    <t>Rent &amp; bills</t>
  </si>
  <si>
    <t>Groceries</t>
  </si>
  <si>
    <t>Supplies &amp; home</t>
  </si>
  <si>
    <t>Dining Out</t>
  </si>
  <si>
    <t>Drinking Out</t>
  </si>
  <si>
    <t>Electronics &amp; digital</t>
  </si>
  <si>
    <t>Health &amp; medicine</t>
  </si>
  <si>
    <t>Fashion</t>
  </si>
  <si>
    <t>Vacation</t>
  </si>
  <si>
    <t>Transport</t>
  </si>
  <si>
    <t>Subscriptions</t>
  </si>
  <si>
    <t>Gifts &amp; dates</t>
  </si>
  <si>
    <t>Entertainment</t>
  </si>
  <si>
    <t>Others</t>
  </si>
  <si>
    <t>💰 Incomes</t>
  </si>
  <si>
    <t>Salary</t>
  </si>
  <si>
    <t>Cafeteria</t>
  </si>
  <si>
    <t>Gifts</t>
  </si>
  <si>
    <t>February</t>
  </si>
  <si>
    <t>eras</t>
  </si>
  <si>
    <t>WEEK</t>
  </si>
  <si>
    <t>LIMITS</t>
  </si>
  <si>
    <t>#1</t>
  </si>
  <si>
    <t>#2</t>
  </si>
  <si>
    <t>#3</t>
  </si>
  <si>
    <t>14-20</t>
  </si>
  <si>
    <t>#4</t>
  </si>
  <si>
    <t>21-27</t>
  </si>
  <si>
    <t>#5</t>
  </si>
  <si>
    <t>28-31</t>
  </si>
  <si>
    <t>March</t>
  </si>
  <si>
    <t xml:space="preserve"> </t>
  </si>
  <si>
    <t>April</t>
  </si>
  <si>
    <t>Groceries &amp; food</t>
  </si>
  <si>
    <t>May</t>
  </si>
  <si>
    <t>June</t>
  </si>
  <si>
    <t>Fashion &amp; Care</t>
  </si>
  <si>
    <t>July</t>
  </si>
  <si>
    <t>Entertainment &amp; leisure</t>
  </si>
  <si>
    <t>August</t>
  </si>
  <si>
    <t>September</t>
  </si>
  <si>
    <t>October</t>
  </si>
  <si>
    <t>November</t>
  </si>
  <si>
    <t>Last update</t>
  </si>
  <si>
    <t>December</t>
  </si>
  <si>
    <t>Review 2023</t>
  </si>
  <si>
    <t>Month</t>
  </si>
  <si>
    <t>Rent</t>
  </si>
  <si>
    <t>Total/month</t>
  </si>
  <si>
    <t>Total</t>
  </si>
  <si>
    <t>Spent by category</t>
  </si>
  <si>
    <t>Amount in</t>
  </si>
  <si>
    <t>Amount out</t>
  </si>
  <si>
    <t>Savings</t>
  </si>
  <si>
    <t>I spent this much money on this kinda shit</t>
  </si>
  <si>
    <t>Hónap</t>
  </si>
  <si>
    <t>JAN</t>
  </si>
  <si>
    <t>FEB</t>
  </si>
  <si>
    <t>MÁR</t>
  </si>
  <si>
    <t>ÁPR</t>
  </si>
  <si>
    <t>Code</t>
  </si>
  <si>
    <t>Description</t>
  </si>
  <si>
    <t>Hét</t>
  </si>
  <si>
    <t>A</t>
  </si>
  <si>
    <t>rent+utilities</t>
  </si>
  <si>
    <t>B</t>
  </si>
  <si>
    <t xml:space="preserve"> basic food and stuff</t>
  </si>
  <si>
    <t>C</t>
  </si>
  <si>
    <t>sweets/junk food</t>
  </si>
  <si>
    <t>D</t>
  </si>
  <si>
    <t>ordered food/going out</t>
  </si>
  <si>
    <t>E</t>
  </si>
  <si>
    <t>electronics &amp; tools</t>
  </si>
  <si>
    <t>👛 Sum</t>
  </si>
  <si>
    <t>F</t>
  </si>
  <si>
    <t>clothes</t>
  </si>
  <si>
    <t>G</t>
  </si>
  <si>
    <t>gifts</t>
  </si>
  <si>
    <t>H</t>
  </si>
  <si>
    <t>transport, traveling</t>
  </si>
  <si>
    <t>I</t>
  </si>
  <si>
    <t>others (vacation, crypto, entertainment, skincare, etc.)</t>
  </si>
  <si>
    <t>J</t>
  </si>
  <si>
    <t>services - dentist, doctor, barber, football,eyecare</t>
  </si>
  <si>
    <t>ordered food</t>
  </si>
  <si>
    <t>electronics</t>
  </si>
  <si>
    <t>K</t>
  </si>
  <si>
    <t>savings</t>
  </si>
  <si>
    <t>X</t>
  </si>
  <si>
    <t>out</t>
  </si>
  <si>
    <t>new frame</t>
  </si>
  <si>
    <t>Y</t>
  </si>
  <si>
    <t>in</t>
  </si>
  <si>
    <t>transport</t>
  </si>
  <si>
    <t>Z</t>
  </si>
  <si>
    <t>total</t>
  </si>
  <si>
    <t>others (crypto, entertainment, skincare, etc.)</t>
  </si>
  <si>
    <t>Constants every month:</t>
  </si>
  <si>
    <t>Netflix</t>
  </si>
  <si>
    <t>dentist, doctor, barber</t>
  </si>
  <si>
    <t>YOXO</t>
  </si>
  <si>
    <t>MÁJ</t>
  </si>
  <si>
    <t>JÚN</t>
  </si>
  <si>
    <t>JÚL</t>
  </si>
  <si>
    <t>AUG</t>
  </si>
  <si>
    <t>AOC Monitor</t>
  </si>
  <si>
    <t>husvet</t>
  </si>
  <si>
    <t>Ebay adidas hoodie</t>
  </si>
  <si>
    <t>NED88 mez</t>
  </si>
  <si>
    <t>ordered food/eating out</t>
  </si>
  <si>
    <t>electronics &amp; supplies</t>
  </si>
  <si>
    <t>others (entertainment, crypto, etc.)</t>
  </si>
  <si>
    <t>services(doctor, dentist, barber, massage, courses)</t>
  </si>
  <si>
    <t>others (crypto, etc.)</t>
  </si>
  <si>
    <t>bonusz</t>
  </si>
  <si>
    <t>foglalora</t>
  </si>
  <si>
    <t>2ho kaucio+kozk.</t>
  </si>
  <si>
    <t>services(doctor, dentist, barber, massage)</t>
  </si>
  <si>
    <t>plusz 8k huf+100eur</t>
  </si>
  <si>
    <t>bolt+vonat pragaba</t>
  </si>
  <si>
    <t>ETDK</t>
  </si>
  <si>
    <t>telekom 3k</t>
  </si>
  <si>
    <t>FORINT</t>
  </si>
  <si>
    <t>Iphone 12 mini + chargers</t>
  </si>
  <si>
    <t>BP szallas</t>
  </si>
  <si>
    <t>BUDAPEST</t>
  </si>
  <si>
    <t>SZEP</t>
  </si>
  <si>
    <t>OKT</t>
  </si>
  <si>
    <t>NOV</t>
  </si>
  <si>
    <t>DEC</t>
  </si>
  <si>
    <t>roaming</t>
  </si>
  <si>
    <t>1RON TO HUF</t>
  </si>
  <si>
    <t>rent+utilities (lakber, internet, mobile, rezsi) &amp; home</t>
  </si>
  <si>
    <t>Name</t>
  </si>
  <si>
    <t>Type</t>
  </si>
  <si>
    <t>Value</t>
  </si>
  <si>
    <t>Currency</t>
  </si>
  <si>
    <t>EUR Rate</t>
  </si>
  <si>
    <t>Revolut EUR</t>
  </si>
  <si>
    <t>ordered food/restaurant</t>
  </si>
  <si>
    <t>EUR</t>
  </si>
  <si>
    <t>RON</t>
  </si>
  <si>
    <t>Revolut RON</t>
  </si>
  <si>
    <t>Spending</t>
  </si>
  <si>
    <t>7263.42</t>
  </si>
  <si>
    <t>HUF</t>
  </si>
  <si>
    <t>Revolut HUF</t>
  </si>
  <si>
    <t>eating out</t>
  </si>
  <si>
    <t>USD</t>
  </si>
  <si>
    <t>OTP RON</t>
  </si>
  <si>
    <t>Void</t>
  </si>
  <si>
    <t>transport &amp; travel</t>
  </si>
  <si>
    <t>ERSTE HUF</t>
  </si>
  <si>
    <t>Binance</t>
  </si>
  <si>
    <t>Crypto</t>
  </si>
  <si>
    <t>Trade212</t>
  </si>
  <si>
    <t>Invest</t>
  </si>
  <si>
    <t>-</t>
  </si>
  <si>
    <t>services(football, doctor, dentist, barber, massage)</t>
  </si>
  <si>
    <t>pingpong</t>
  </si>
  <si>
    <t>alza - tok,folia</t>
  </si>
  <si>
    <t>BELGIA</t>
  </si>
  <si>
    <t>ALL</t>
  </si>
  <si>
    <t>MAR</t>
  </si>
  <si>
    <t>APR</t>
  </si>
  <si>
    <t>MAJ</t>
  </si>
  <si>
    <t>JUN</t>
  </si>
  <si>
    <t>JUL</t>
  </si>
  <si>
    <t>SZE</t>
  </si>
  <si>
    <t>Total Cat.</t>
  </si>
  <si>
    <t>services(football, doctor, dentist, barber, massage, courses)</t>
  </si>
  <si>
    <t>tg.m-&gt;bp balazs</t>
  </si>
  <si>
    <t>traveling week</t>
  </si>
  <si>
    <t>doctor, dentist, barber</t>
  </si>
  <si>
    <t>OUT</t>
  </si>
  <si>
    <t>IN</t>
  </si>
  <si>
    <t>Total out</t>
  </si>
  <si>
    <t>Total in</t>
  </si>
  <si>
    <t>Sum</t>
  </si>
  <si>
    <t>Investments</t>
  </si>
  <si>
    <t>Funds &amp; Stocks Portfolio</t>
  </si>
  <si>
    <t>Exchange</t>
  </si>
  <si>
    <t>Region</t>
  </si>
  <si>
    <t>Ticker</t>
  </si>
  <si>
    <t>#</t>
  </si>
  <si>
    <t>ACC</t>
  </si>
  <si>
    <t>Invested (USD)</t>
  </si>
  <si>
    <t>Invested (EUR)</t>
  </si>
  <si>
    <t>Value (EUR)</t>
  </si>
  <si>
    <t>Value (USD)</t>
  </si>
  <si>
    <t>Gain (%)</t>
  </si>
  <si>
    <t>%</t>
  </si>
  <si>
    <t>Price  (EUR)</t>
  </si>
  <si>
    <t>Price (USD)</t>
  </si>
  <si>
    <t>STOCK</t>
  </si>
  <si>
    <t>NASDAQ</t>
  </si>
  <si>
    <t>USA</t>
  </si>
  <si>
    <t>Apple</t>
  </si>
  <si>
    <t>AAPL</t>
  </si>
  <si>
    <t>NVidia</t>
  </si>
  <si>
    <t>NVDA</t>
  </si>
  <si>
    <t>NYSE</t>
  </si>
  <si>
    <t>EU</t>
  </si>
  <si>
    <t>Novo Nordisk</t>
  </si>
  <si>
    <t>NVO</t>
  </si>
  <si>
    <t>Spotify</t>
  </si>
  <si>
    <t>SPOT</t>
  </si>
  <si>
    <t>ETF</t>
  </si>
  <si>
    <t>BIT</t>
  </si>
  <si>
    <t>Vanguard FTSE All World</t>
  </si>
  <si>
    <t>VWCE</t>
  </si>
  <si>
    <t>CSPX</t>
  </si>
  <si>
    <t>IWDA</t>
  </si>
  <si>
    <t>VUAA</t>
  </si>
  <si>
    <t>META</t>
  </si>
  <si>
    <t>CASH</t>
  </si>
  <si>
    <t>Summary</t>
  </si>
  <si>
    <t>Gains 💪🏻💸</t>
  </si>
  <si>
    <t>Growth 🕑</t>
  </si>
  <si>
    <t>Invested</t>
  </si>
  <si>
    <t>Gained</t>
  </si>
  <si>
    <t>ACCUMULATED GAINS</t>
  </si>
  <si>
    <t>RECURRING INVESTMENT</t>
  </si>
  <si>
    <t>EXP. GROWTH /MONTH (%)</t>
  </si>
  <si>
    <t>MAY</t>
  </si>
  <si>
    <t>SEP</t>
  </si>
  <si>
    <t>OCT</t>
  </si>
  <si>
    <t>invested</t>
  </si>
  <si>
    <t>reached</t>
  </si>
  <si>
    <t>projected</t>
  </si>
  <si>
    <t>growth</t>
  </si>
  <si>
    <t>24/01</t>
  </si>
  <si>
    <t>24/02</t>
  </si>
  <si>
    <t>24/03</t>
  </si>
  <si>
    <t>24/04</t>
  </si>
  <si>
    <t>24/05</t>
  </si>
  <si>
    <t>24/06</t>
  </si>
  <si>
    <t>24/07</t>
  </si>
  <si>
    <t>24/08</t>
  </si>
  <si>
    <t>24/09</t>
  </si>
  <si>
    <t>24/10</t>
  </si>
  <si>
    <t>24/11</t>
  </si>
  <si>
    <t>24/12</t>
  </si>
  <si>
    <t>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</si>
</sst>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 &quot;d&quot; &quot;mmm&quot; &quot;yyyy&quot;, &quot;hh&quot;:&quot;mm"/>
    <numFmt numFmtId="165" formatCode="&quot;$&quot;#,##0.00"/>
    <numFmt numFmtId="166" formatCode="#,##0.00\ [$Ft-40E]"/>
    <numFmt numFmtId="167" formatCode="m-d"/>
    <numFmt numFmtId="168" formatCode="yyyy.m.d"/>
    <numFmt numFmtId="169" formatCode="[$€]#,##0.00"/>
    <numFmt numFmtId="170" formatCode="&quot;$&quot;#,##0"/>
    <numFmt numFmtId="171" formatCode="#,##0.000"/>
  </numFmts>
  <fonts count="96">
    <font>
      <sz val="11.0"/>
      <color theme="1"/>
      <name val="Calibri"/>
      <scheme val="minor"/>
    </font>
    <font>
      <sz val="22.0"/>
      <color rgb="FFFFFFFF"/>
      <name val="Nunito Sans"/>
    </font>
    <font>
      <sz val="11.0"/>
      <color theme="1"/>
      <name val="Calibri"/>
    </font>
    <font>
      <b/>
      <sz val="16.0"/>
      <color rgb="FFD66466"/>
      <name val="Nunito Sans"/>
    </font>
    <font>
      <b/>
      <sz val="16.0"/>
      <color rgb="FF5FB2EB"/>
      <name val="Nunito Sans"/>
    </font>
    <font>
      <b/>
      <sz val="16.0"/>
      <color rgb="FFA1D6CE"/>
      <name val="Nunito Sans"/>
    </font>
    <font>
      <b/>
      <sz val="14.0"/>
      <color rgb="FFD66466"/>
      <name val="Nunito Sans"/>
    </font>
    <font>
      <b/>
      <sz val="14.0"/>
      <color rgb="FF5FB2EB"/>
      <name val="Nunito Sans"/>
    </font>
    <font>
      <i/>
      <sz val="9.0"/>
      <color rgb="FFEFEFEF"/>
      <name val="Nunito Sans"/>
    </font>
    <font/>
    <font>
      <b/>
      <sz val="20.0"/>
      <color rgb="FFFFFFFF"/>
      <name val="Nunito Sans"/>
    </font>
    <font>
      <b/>
      <sz val="9.0"/>
      <color rgb="FFFCE5CD"/>
      <name val="Nunito Sans"/>
    </font>
    <font>
      <b/>
      <sz val="13.0"/>
      <color rgb="FFA2C4C9"/>
      <name val="Nunito Sans"/>
    </font>
    <font>
      <b/>
      <sz val="11.0"/>
      <color theme="1"/>
      <name val="Calibri"/>
    </font>
    <font>
      <b/>
      <sz val="12.0"/>
      <color rgb="FF000000"/>
      <name val="Nunito Sans"/>
    </font>
    <font>
      <b/>
      <sz val="12.0"/>
      <color rgb="FF6F6F6F"/>
      <name val="Nunito Sans"/>
    </font>
    <font>
      <sz val="9.0"/>
      <color rgb="FFEFEFEF"/>
      <name val="Nunito Sans"/>
    </font>
    <font>
      <b/>
      <sz val="12.0"/>
      <color rgb="FFFFFFFF"/>
      <name val="Nunito Sans"/>
    </font>
    <font>
      <b/>
      <sz val="9.0"/>
      <color rgb="FFEFEFEF"/>
      <name val="Nunito Sans"/>
    </font>
    <font>
      <b/>
      <sz val="9.0"/>
      <color rgb="FFFFFFFF"/>
      <name val="Nunito Sans"/>
    </font>
    <font>
      <sz val="12.0"/>
      <color rgb="FF666666"/>
      <name val="Nunito Sans"/>
    </font>
    <font>
      <sz val="12.0"/>
      <color rgb="FF6F6F6F"/>
      <name val="Nunito Sans"/>
    </font>
    <font>
      <b/>
      <sz val="12.0"/>
      <color rgb="FF222222"/>
      <name val="Nunito Sans"/>
    </font>
    <font>
      <sz val="12.0"/>
      <color rgb="FFD66466"/>
      <name val="Nunito Sans"/>
    </font>
    <font>
      <sz val="12.0"/>
      <color theme="1"/>
      <name val="Nunito Sans"/>
    </font>
    <font>
      <sz val="12.0"/>
      <color rgb="FF222222"/>
      <name val="Nunito Sans"/>
    </font>
    <font>
      <sz val="12.0"/>
      <color rgb="FF999999"/>
      <name val="Nunito Sans"/>
    </font>
    <font>
      <sz val="12.0"/>
      <color rgb="FF333333"/>
      <name val="Nunito Sans"/>
    </font>
    <font>
      <sz val="12.0"/>
      <color rgb="FFA1D6CE"/>
      <name val="Nunito Sans"/>
    </font>
    <font>
      <b/>
      <sz val="12.0"/>
      <color rgb="FF00B050"/>
      <name val="Nunito Sans"/>
    </font>
    <font>
      <b/>
      <sz val="16.0"/>
      <color rgb="FFA1D6CE"/>
      <name val="&quot;Nunito Sans&quot;"/>
    </font>
    <font>
      <b/>
      <sz val="13.0"/>
      <color rgb="FF5FB2EB"/>
      <name val="&quot;Nunito Sans&quot;"/>
    </font>
    <font>
      <b/>
      <sz val="16.0"/>
      <color rgb="FFD66466"/>
      <name val="&quot;Nunito Sans&quot;"/>
    </font>
    <font>
      <b/>
      <sz val="16.0"/>
      <color rgb="FF5FB2EB"/>
      <name val="&quot;Nunito Sans&quot;"/>
    </font>
    <font>
      <b/>
      <sz val="13.0"/>
      <color rgb="FFA2C4C9"/>
      <name val="&quot;Nunito Sans&quot;"/>
    </font>
    <font>
      <i/>
      <sz val="9.0"/>
      <color rgb="FFEFEFEF"/>
      <name val="&quot;Nunito Sans&quot;"/>
    </font>
    <font>
      <sz val="18.0"/>
      <color rgb="FFFFFFFF"/>
      <name val="Calibri"/>
      <scheme val="minor"/>
    </font>
    <font>
      <color theme="1"/>
      <name val="Calibri"/>
      <scheme val="minor"/>
    </font>
    <font>
      <b/>
      <sz val="9.0"/>
      <color rgb="FFEFEFEF"/>
      <name val="&quot;Nunito Sans&quot;"/>
    </font>
    <font>
      <b/>
      <sz val="12.0"/>
      <color rgb="FFFFFFFF"/>
      <name val="&quot;Nunito Sans&quot;"/>
    </font>
    <font>
      <b/>
      <sz val="9.0"/>
      <color rgb="FFFFFFFF"/>
      <name val="&quot;Nunito Sans&quot;"/>
    </font>
    <font>
      <sz val="9.0"/>
      <color rgb="FFFFFFFF"/>
      <name val="Calibri"/>
      <scheme val="minor"/>
    </font>
    <font>
      <b/>
      <sz val="12.0"/>
      <color rgb="FF222222"/>
      <name val="&quot;Nunito Sans&quot;"/>
    </font>
    <font>
      <sz val="12.0"/>
      <color rgb="FF6F6F6F"/>
      <name val="&quot;Nunito Sans&quot;"/>
    </font>
    <font>
      <sz val="12.0"/>
      <color rgb="FFF4CCCC"/>
      <name val="Nunito Sans"/>
    </font>
    <font>
      <sz val="12.0"/>
      <color rgb="FFD66466"/>
      <name val="Arial"/>
    </font>
    <font>
      <sz val="11.0"/>
      <color theme="1"/>
      <name val="Arial"/>
    </font>
    <font>
      <b/>
      <sz val="13.0"/>
      <color rgb="FFFFC000"/>
      <name val="&quot;Nunito Sans&quot;"/>
    </font>
    <font>
      <b/>
      <sz val="13.0"/>
      <color rgb="FFD5A6BD"/>
      <name val="&quot;Nunito Sans&quot;"/>
    </font>
    <font>
      <color rgb="FFFFFFFF"/>
      <name val="Calibri"/>
      <scheme val="minor"/>
    </font>
    <font>
      <b/>
      <sz val="18.0"/>
      <color rgb="FFFFFFFF"/>
      <name val="Calibri"/>
      <scheme val="minor"/>
    </font>
    <font>
      <b/>
      <sz val="16.0"/>
      <color rgb="FFFFFFFF"/>
      <name val="Calibri"/>
      <scheme val="minor"/>
    </font>
    <font>
      <b/>
      <sz val="14.0"/>
      <color rgb="FFFFFFFF"/>
      <name val="Calibri"/>
      <scheme val="minor"/>
    </font>
    <font>
      <b/>
      <sz val="18.0"/>
      <color rgb="FFFFFFFF"/>
      <name val="Calibri"/>
    </font>
    <font>
      <sz val="11.0"/>
      <color rgb="FFFFFFFF"/>
      <name val="Calibri"/>
    </font>
    <font>
      <b/>
      <color rgb="FFFFFFFF"/>
      <name val="Calibri"/>
      <scheme val="minor"/>
    </font>
    <font>
      <sz val="11.0"/>
      <color rgb="FFFFFFFF"/>
      <name val="Calibri"/>
      <scheme val="minor"/>
    </font>
    <font>
      <b/>
      <color rgb="FF434343"/>
      <name val="Calibri"/>
      <scheme val="minor"/>
    </font>
    <font>
      <b/>
      <color rgb="FF7030A0"/>
      <name val="Calibri"/>
      <scheme val="minor"/>
    </font>
    <font>
      <sz val="11.0"/>
      <color rgb="FF1155CC"/>
      <name val="Inconsolata"/>
    </font>
    <font>
      <sz val="18.0"/>
      <color rgb="FFFFFFFF"/>
      <name val="Calibri"/>
    </font>
    <font>
      <sz val="11.0"/>
      <color rgb="FF000000"/>
      <name val="Inconsolata"/>
    </font>
    <font>
      <sz val="14.0"/>
      <color rgb="FFFFFFFF"/>
      <name val="Roboto"/>
    </font>
    <font>
      <color theme="1"/>
      <name val="Roboto"/>
    </font>
    <font>
      <sz val="14.0"/>
      <color rgb="FF000000"/>
      <name val="Roboto"/>
    </font>
    <font>
      <sz val="12.0"/>
      <color rgb="FF000000"/>
      <name val="Roboto"/>
    </font>
    <font>
      <sz val="14.0"/>
      <color rgb="FF000000"/>
      <name val="Inconsolata"/>
    </font>
    <font>
      <b/>
      <sz val="24.0"/>
      <color rgb="FF00B050"/>
      <name val="Calibri"/>
      <scheme val="minor"/>
    </font>
    <font>
      <color rgb="FF000000"/>
      <name val="Calibri"/>
      <scheme val="minor"/>
    </font>
    <font>
      <sz val="11.0"/>
      <color theme="0"/>
      <name val="Calibri"/>
      <scheme val="minor"/>
    </font>
    <font>
      <sz val="11.0"/>
      <color rgb="FF000000"/>
      <name val="Calibri"/>
    </font>
    <font>
      <sz val="11.0"/>
      <color rgb="FFFF0000"/>
      <name val="Calibri"/>
      <scheme val="minor"/>
    </font>
    <font>
      <sz val="11.0"/>
      <color rgb="FFFF0000"/>
      <name val="Inconsolata"/>
    </font>
    <font>
      <sz val="12.0"/>
      <color rgb="FF1E1E1E"/>
      <name val="&quot;Segoe UI&quot;"/>
    </font>
    <font>
      <b/>
      <sz val="11.0"/>
      <color theme="0"/>
      <name val="Calibri"/>
      <scheme val="minor"/>
    </font>
    <font>
      <b/>
      <sz val="18.0"/>
      <color rgb="FF000000"/>
      <name val="Nunito Sans"/>
    </font>
    <font>
      <b/>
      <sz val="12.0"/>
      <color rgb="FF434343"/>
      <name val="Calibri"/>
      <scheme val="minor"/>
    </font>
    <font>
      <b/>
      <color rgb="FF434343"/>
      <name val="Nunito Sans"/>
    </font>
    <font>
      <b/>
      <sz val="12.0"/>
      <color rgb="FF434343"/>
      <name val="Nunito Sans"/>
    </font>
    <font>
      <color rgb="FF434343"/>
      <name val="Nunito Sans"/>
    </font>
    <font>
      <color theme="1"/>
      <name val="Nunito Sans"/>
    </font>
    <font>
      <sz val="12.0"/>
      <color rgb="FF434343"/>
      <name val="Nunito Sans"/>
    </font>
    <font>
      <sz val="11.0"/>
      <color rgb="FF434343"/>
      <name val="Nunito Sans"/>
    </font>
    <font>
      <u/>
      <color rgb="FF0000FF"/>
      <name val="Nunito Sans"/>
    </font>
    <font>
      <sz val="9.0"/>
      <color rgb="FF000000"/>
      <name val="Inconsolata"/>
    </font>
    <font>
      <b/>
      <color theme="1"/>
      <name val="Calibri"/>
      <scheme val="minor"/>
    </font>
    <font>
      <color rgb="FF1E1E1E"/>
      <name val="Nunito Sans"/>
    </font>
    <font>
      <b/>
      <sz val="16.0"/>
      <color rgb="FF434343"/>
      <name val="Nunito Sans"/>
    </font>
    <font>
      <b/>
      <sz val="14.0"/>
      <color rgb="FF434343"/>
      <name val="Nunito Sans"/>
    </font>
    <font>
      <b/>
      <color rgb="FF1E1E1E"/>
      <name val="Nunito Sans"/>
    </font>
    <font>
      <b/>
      <color theme="1"/>
      <name val="Nunito Sans"/>
    </font>
    <font>
      <b/>
      <color rgb="FF1E1E1E"/>
      <name val="Calibri"/>
      <scheme val="minor"/>
    </font>
    <font>
      <b/>
      <color rgb="FF000000"/>
      <name val="Nunito Sans"/>
    </font>
    <font>
      <b/>
      <sz val="11.0"/>
      <color theme="1"/>
      <name val="Nunito Sans"/>
    </font>
    <font>
      <color rgb="FF000000"/>
      <name val="Nunito Sans"/>
    </font>
    <font>
      <sz val="11.0"/>
      <color theme="1"/>
      <name val="Nunito Sans"/>
    </font>
  </fonts>
  <fills count="52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505D5E"/>
        <bgColor rgb="FF505D5E"/>
      </patternFill>
    </fill>
    <fill>
      <patternFill patternType="solid">
        <fgColor rgb="FF333333"/>
        <bgColor rgb="FF33333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1E1E1E"/>
        <bgColor rgb="FF1E1E1E"/>
      </patternFill>
    </fill>
    <fill>
      <patternFill patternType="solid">
        <fgColor rgb="FF434343"/>
        <bgColor rgb="FF434343"/>
      </patternFill>
    </fill>
    <fill>
      <patternFill patternType="solid">
        <fgColor rgb="FF00B050"/>
        <bgColor rgb="FF00B050"/>
      </patternFill>
    </fill>
    <fill>
      <patternFill patternType="solid">
        <fgColor rgb="FFC27BA0"/>
        <bgColor rgb="FFC27BA0"/>
      </patternFill>
    </fill>
    <fill>
      <patternFill patternType="solid">
        <fgColor rgb="FFFF0000"/>
        <bgColor rgb="FFFF0000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rgb="FF00B0F0"/>
      </patternFill>
    </fill>
    <fill>
      <patternFill patternType="solid">
        <fgColor rgb="FF0000FF"/>
        <bgColor rgb="FF0000FF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FF00FF"/>
        <bgColor rgb="FFFF00FF"/>
      </patternFill>
    </fill>
    <fill>
      <patternFill patternType="solid">
        <fgColor rgb="FFD0E0E3"/>
        <bgColor rgb="FFD0E0E3"/>
      </patternFill>
    </fill>
    <fill>
      <patternFill patternType="solid">
        <fgColor rgb="FF980000"/>
        <bgColor rgb="FF980000"/>
      </patternFill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CC0000"/>
        <bgColor rgb="FFCC000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CCCCCC"/>
        <bgColor rgb="FFCCCCCC"/>
      </patternFill>
    </fill>
    <fill>
      <patternFill patternType="solid">
        <fgColor rgb="FF45818E"/>
        <bgColor rgb="FF45818E"/>
      </patternFill>
    </fill>
    <fill>
      <patternFill patternType="solid">
        <fgColor rgb="FFA2C4C9"/>
        <bgColor rgb="FFA2C4C9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0C0C0C"/>
        <bgColor rgb="FF0C0C0C"/>
      </patternFill>
    </fill>
    <fill>
      <patternFill patternType="solid">
        <fgColor rgb="FF000000"/>
        <bgColor rgb="FF00000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A1D6CE"/>
        <bgColor rgb="FFA1D6CE"/>
      </patternFill>
    </fill>
  </fills>
  <borders count="121">
    <border/>
    <border>
      <bottom style="thin">
        <color rgb="FF000000"/>
      </bottom>
    </border>
    <border>
      <bottom style="medium">
        <color rgb="FF333333"/>
      </bottom>
    </border>
    <border>
      <bottom style="thin">
        <color rgb="FFEFEFEF"/>
      </bottom>
    </border>
    <border>
      <bottom style="thin">
        <color rgb="FFFFFFF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bottom style="medium">
        <color rgb="FFFFFFFF"/>
      </bottom>
    </border>
    <border>
      <top style="thin">
        <color rgb="FFEFEFEF"/>
      </top>
      <bottom style="thin">
        <color rgb="FFEFEFEF"/>
      </bottom>
    </border>
    <border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top style="thin">
        <color rgb="FFD9D9D9"/>
      </top>
    </border>
    <border>
      <bottom style="medium">
        <color rgb="FF000000"/>
      </bottom>
    </border>
    <border>
      <top style="thin">
        <color rgb="FFEFEFEF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top style="medium">
        <color rgb="FF333333"/>
      </top>
    </border>
    <border>
      <left style="thin">
        <color rgb="FF000000"/>
      </left>
      <top style="medium">
        <color rgb="FFFFFFFF"/>
      </top>
    </border>
    <border>
      <top style="medium">
        <color rgb="FFFFFFFF"/>
      </top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top style="thin">
        <color rgb="FFFFFFFF"/>
      </top>
    </border>
    <border>
      <left style="thin">
        <color rgb="FFCCCCCC"/>
      </left>
    </border>
    <border>
      <right style="thin">
        <color rgb="FFCCCCCC"/>
      </right>
    </border>
    <border>
      <left style="thin">
        <color rgb="FFCCCCCC"/>
      </left>
      <bottom style="thin">
        <color rgb="FFCCCCCC"/>
      </bottom>
    </border>
    <border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bottom style="thin">
        <color rgb="FFE5E3E1"/>
      </bottom>
    </border>
    <border>
      <top style="thin">
        <color rgb="FFCCCCCC"/>
      </top>
      <bottom style="thin">
        <color rgb="FFCCCCCC"/>
      </bottom>
    </border>
    <border>
      <left style="thin">
        <color rgb="FFD9D9D9"/>
      </left>
      <bottom style="thin">
        <color rgb="FFCCCCCC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top/>
    </border>
    <border>
      <top/>
    </border>
    <border>
      <right/>
      <top/>
    </border>
    <border>
      <left/>
      <bottom style="thick">
        <color rgb="FF000000"/>
      </bottom>
    </border>
    <border>
      <bottom style="thick">
        <color rgb="FF000000"/>
      </bottom>
    </border>
    <border>
      <right/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FFFFFF"/>
      </left>
      <top style="medium">
        <color rgb="FFFFFFFF"/>
      </top>
    </border>
    <border>
      <left style="medium">
        <color rgb="FFFFFFFF"/>
      </left>
    </border>
    <border>
      <bottom style="medium">
        <color rgb="FF434343"/>
      </bottom>
    </border>
    <border>
      <left style="medium">
        <color rgb="FFFFFFFF"/>
      </left>
      <top style="medium">
        <color rgb="FF000000"/>
      </top>
      <bottom style="thin">
        <color rgb="FF000000"/>
      </bottom>
    </border>
    <border>
      <left style="medium">
        <color rgb="FFFFFFFF"/>
      </left>
      <top style="thin">
        <color rgb="FF000000"/>
      </top>
      <bottom style="thin">
        <color rgb="FF000000"/>
      </bottom>
    </border>
    <border>
      <left style="medium">
        <color rgb="FFFFFFFF"/>
      </left>
      <top style="thin">
        <color rgb="FF000000"/>
      </top>
    </border>
    <border>
      <top style="medium">
        <color rgb="FF000000"/>
      </top>
      <bottom style="medium">
        <color rgb="FFF3F3F3"/>
      </bottom>
    </border>
    <border>
      <left style="medium">
        <color rgb="FFFFFFFF"/>
      </left>
      <top style="medium">
        <color rgb="FFFFFFFF"/>
      </top>
      <bottom style="medium">
        <color rgb="FF000000"/>
      </bottom>
    </border>
    <border>
      <top style="medium">
        <color rgb="FFFFFFFF"/>
      </top>
      <bottom style="medium">
        <color rgb="FF000000"/>
      </bottom>
    </border>
    <border>
      <left style="medium">
        <color rgb="FFF4CCCC"/>
      </left>
      <top style="medium">
        <color rgb="FFF4CCCC"/>
      </top>
    </border>
    <border>
      <right style="medium">
        <color rgb="FFF4CCCC"/>
      </right>
      <top style="medium">
        <color rgb="FFF4CCCC"/>
      </top>
    </border>
    <border>
      <left style="thin">
        <color rgb="FFFFFFFF"/>
      </left>
      <right style="medium">
        <color rgb="FF000000"/>
      </right>
      <top style="thin">
        <color rgb="FFFFFFFF"/>
      </top>
      <bottom style="medium">
        <color rgb="FF000000"/>
      </bottom>
    </border>
    <border>
      <left style="medium">
        <color rgb="FFF4CCCC"/>
      </left>
    </border>
    <border>
      <right style="medium">
        <color rgb="FFF4CCCC"/>
      </right>
    </border>
    <border>
      <left style="thin">
        <color rgb="FFFFFFFF"/>
      </left>
      <right style="medium">
        <color rgb="FF000000"/>
      </right>
      <bottom style="thin">
        <color rgb="FF000000"/>
      </bottom>
    </border>
    <border>
      <left style="medium">
        <color rgb="FFF4CCCC"/>
      </left>
      <bottom style="medium">
        <color rgb="FFF4CCCC"/>
      </bottom>
    </border>
    <border>
      <right style="medium">
        <color rgb="FFF4CCCC"/>
      </right>
      <bottom style="medium">
        <color rgb="FFF4CCCC"/>
      </bottom>
    </border>
    <border>
      <left style="thin">
        <color rgb="FFFFFFFF"/>
      </left>
      <right style="medium">
        <color rgb="FF000000"/>
      </right>
    </border>
    <border>
      <top style="thin">
        <color rgb="FF000000"/>
      </top>
      <bottom style="medium">
        <color rgb="FFFFFFFF"/>
      </bottom>
    </border>
  </borders>
  <cellStyleXfs count="1">
    <xf borderId="0" fillId="0" fontId="0" numFmtId="0" applyAlignment="1" applyFont="1"/>
  </cellStyleXfs>
  <cellXfs count="833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vertical="bottom"/>
    </xf>
    <xf borderId="0" fillId="2" fontId="2" numFmtId="165" xfId="0" applyAlignment="1" applyFont="1" applyNumberFormat="1">
      <alignment vertical="bottom"/>
    </xf>
    <xf borderId="0" fillId="2" fontId="3" numFmtId="10" xfId="0" applyAlignment="1" applyFont="1" applyNumberFormat="1">
      <alignment horizontal="right" vertical="bottom"/>
    </xf>
    <xf borderId="0" fillId="2" fontId="4" numFmtId="10" xfId="0" applyAlignment="1" applyFont="1" applyNumberFormat="1">
      <alignment horizontal="right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166" xfId="0" applyAlignment="1" applyFont="1" applyNumberFormat="1">
      <alignment vertical="bottom"/>
    </xf>
    <xf borderId="0" fillId="2" fontId="5" numFmtId="166" xfId="0" applyAlignment="1" applyFont="1" applyNumberFormat="1">
      <alignment horizontal="right" vertical="bottom"/>
    </xf>
    <xf borderId="0" fillId="2" fontId="6" numFmtId="166" xfId="0" applyAlignment="1" applyFont="1" applyNumberFormat="1">
      <alignment horizontal="right" vertical="bottom"/>
    </xf>
    <xf borderId="1" fillId="2" fontId="2" numFmtId="164" xfId="0" applyBorder="1" applyFont="1" applyNumberFormat="1"/>
    <xf borderId="0" fillId="2" fontId="7" numFmtId="166" xfId="0" applyAlignment="1" applyFont="1" applyNumberFormat="1">
      <alignment horizontal="right" vertical="bottom"/>
    </xf>
    <xf borderId="0" fillId="2" fontId="2" numFmtId="164" xfId="0" applyFont="1" applyNumberFormat="1"/>
    <xf borderId="2" fillId="2" fontId="2" numFmtId="166" xfId="0" applyAlignment="1" applyBorder="1" applyFont="1" applyNumberFormat="1">
      <alignment vertical="bottom"/>
    </xf>
    <xf borderId="3" fillId="2" fontId="8" numFmtId="0" xfId="0" applyAlignment="1" applyBorder="1" applyFont="1">
      <alignment horizontal="center" vertical="top"/>
    </xf>
    <xf borderId="3" fillId="0" fontId="9" numFmtId="0" xfId="0" applyBorder="1" applyFont="1"/>
    <xf borderId="3" fillId="2" fontId="8" numFmtId="166" xfId="0" applyAlignment="1" applyBorder="1" applyFont="1" applyNumberFormat="1">
      <alignment horizontal="right" vertical="top"/>
    </xf>
    <xf borderId="3" fillId="2" fontId="2" numFmtId="166" xfId="0" applyAlignment="1" applyBorder="1" applyFont="1" applyNumberFormat="1">
      <alignment vertical="top"/>
    </xf>
    <xf borderId="4" fillId="0" fontId="9" numFmtId="0" xfId="0" applyBorder="1" applyFont="1"/>
    <xf borderId="0" fillId="3" fontId="2" numFmtId="0" xfId="0" applyAlignment="1" applyFill="1" applyFont="1">
      <alignment vertical="bottom"/>
    </xf>
    <xf borderId="0" fillId="3" fontId="2" numFmtId="166" xfId="0" applyAlignment="1" applyFont="1" applyNumberFormat="1">
      <alignment vertical="bottom"/>
    </xf>
    <xf borderId="5" fillId="2" fontId="1" numFmtId="164" xfId="0" applyAlignment="1" applyBorder="1" applyFont="1" applyNumberFormat="1">
      <alignment horizontal="center"/>
    </xf>
    <xf borderId="0" fillId="2" fontId="1" numFmtId="164" xfId="0" applyAlignment="1" applyFont="1" applyNumberFormat="1">
      <alignment horizontal="center"/>
    </xf>
    <xf borderId="6" fillId="3" fontId="2" numFmtId="0" xfId="0" applyAlignment="1" applyBorder="1" applyFont="1">
      <alignment vertical="bottom"/>
    </xf>
    <xf borderId="0" fillId="2" fontId="5" numFmtId="166" xfId="0" applyAlignment="1" applyFont="1" applyNumberFormat="1">
      <alignment horizontal="right" readingOrder="0" vertical="bottom"/>
    </xf>
    <xf borderId="0" fillId="4" fontId="10" numFmtId="165" xfId="0" applyAlignment="1" applyFill="1" applyFont="1" applyNumberFormat="1">
      <alignment horizontal="center" vertical="bottom"/>
    </xf>
    <xf borderId="5" fillId="2" fontId="1" numFmtId="164" xfId="0" applyAlignment="1" applyBorder="1" applyFont="1" applyNumberFormat="1">
      <alignment horizontal="center" vertical="bottom"/>
    </xf>
    <xf borderId="0" fillId="2" fontId="3" numFmtId="166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4" fontId="2" numFmtId="165" xfId="0" applyAlignment="1" applyFont="1" applyNumberFormat="1">
      <alignment vertical="bottom"/>
    </xf>
    <xf borderId="0" fillId="4" fontId="11" numFmtId="166" xfId="0" applyAlignment="1" applyFont="1" applyNumberFormat="1">
      <alignment vertical="bottom"/>
    </xf>
    <xf borderId="0" fillId="4" fontId="11" numFmtId="165" xfId="0" applyAlignment="1" applyFont="1" applyNumberFormat="1">
      <alignment horizontal="right" readingOrder="0" vertical="bottom"/>
    </xf>
    <xf borderId="0" fillId="2" fontId="4" numFmtId="166" xfId="0" applyAlignment="1" applyFont="1" applyNumberFormat="1">
      <alignment horizontal="right" vertical="bottom"/>
    </xf>
    <xf borderId="0" fillId="4" fontId="11" numFmtId="165" xfId="0" applyAlignment="1" applyFont="1" applyNumberFormat="1">
      <alignment horizontal="right" vertical="bottom"/>
    </xf>
    <xf borderId="0" fillId="2" fontId="12" numFmtId="0" xfId="0" applyAlignment="1" applyFont="1">
      <alignment horizontal="right" vertical="bottom"/>
    </xf>
    <xf borderId="7" fillId="3" fontId="2" numFmtId="0" xfId="0" applyAlignment="1" applyBorder="1" applyFont="1">
      <alignment vertical="bottom"/>
    </xf>
    <xf borderId="6" fillId="3" fontId="13" numFmtId="0" xfId="0" applyAlignment="1" applyBorder="1" applyFont="1">
      <alignment vertical="bottom"/>
    </xf>
    <xf borderId="8" fillId="2" fontId="8" numFmtId="0" xfId="0" applyAlignment="1" applyBorder="1" applyFont="1">
      <alignment horizontal="center" vertical="top"/>
    </xf>
    <xf borderId="0" fillId="3" fontId="13" numFmtId="0" xfId="0" applyAlignment="1" applyFont="1">
      <alignment vertical="bottom"/>
    </xf>
    <xf borderId="3" fillId="5" fontId="13" numFmtId="166" xfId="0" applyAlignment="1" applyBorder="1" applyFill="1" applyFont="1" applyNumberFormat="1">
      <alignment vertical="bottom"/>
    </xf>
    <xf borderId="8" fillId="2" fontId="8" numFmtId="0" xfId="0" applyAlignment="1" applyBorder="1" applyFont="1">
      <alignment horizontal="right" vertical="top"/>
    </xf>
    <xf borderId="3" fillId="5" fontId="14" numFmtId="166" xfId="0" applyAlignment="1" applyBorder="1" applyFont="1" applyNumberFormat="1">
      <alignment horizontal="left" vertical="bottom"/>
    </xf>
    <xf borderId="8" fillId="0" fontId="9" numFmtId="0" xfId="0" applyBorder="1" applyFont="1"/>
    <xf borderId="3" fillId="5" fontId="15" numFmtId="166" xfId="0" applyAlignment="1" applyBorder="1" applyFont="1" applyNumberFormat="1">
      <alignment horizontal="right" vertical="bottom"/>
    </xf>
    <xf borderId="8" fillId="2" fontId="16" numFmtId="0" xfId="0" applyAlignment="1" applyBorder="1" applyFont="1">
      <alignment horizontal="right" vertical="top"/>
    </xf>
    <xf borderId="0" fillId="3" fontId="2" numFmtId="0" xfId="0" applyFont="1"/>
    <xf borderId="4" fillId="4" fontId="10" numFmtId="165" xfId="0" applyAlignment="1" applyBorder="1" applyFont="1" applyNumberFormat="1">
      <alignment horizontal="center" readingOrder="0" vertical="bottom"/>
    </xf>
    <xf borderId="4" fillId="4" fontId="17" numFmtId="165" xfId="0" applyAlignment="1" applyBorder="1" applyFont="1" applyNumberFormat="1">
      <alignment horizontal="center"/>
    </xf>
    <xf borderId="7" fillId="3" fontId="13" numFmtId="0" xfId="0" applyAlignment="1" applyBorder="1" applyFont="1">
      <alignment vertical="bottom"/>
    </xf>
    <xf borderId="0" fillId="4" fontId="18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4" fontId="19" numFmtId="165" xfId="0" applyAlignment="1" applyFont="1" applyNumberFormat="1">
      <alignment horizontal="right" vertical="bottom"/>
    </xf>
    <xf borderId="9" fillId="0" fontId="2" numFmtId="166" xfId="0" applyAlignment="1" applyBorder="1" applyFont="1" applyNumberFormat="1">
      <alignment vertical="bottom"/>
    </xf>
    <xf borderId="9" fillId="6" fontId="20" numFmtId="166" xfId="0" applyAlignment="1" applyBorder="1" applyFill="1" applyFont="1" applyNumberFormat="1">
      <alignment vertical="bottom"/>
    </xf>
    <xf borderId="0" fillId="4" fontId="18" numFmtId="0" xfId="0" applyFont="1"/>
    <xf borderId="10" fillId="5" fontId="2" numFmtId="0" xfId="0" applyAlignment="1" applyBorder="1" applyFont="1">
      <alignment vertical="bottom"/>
    </xf>
    <xf borderId="9" fillId="6" fontId="21" numFmtId="166" xfId="0" applyAlignment="1" applyBorder="1" applyFont="1" applyNumberFormat="1">
      <alignment horizontal="right" vertical="bottom"/>
    </xf>
    <xf borderId="0" fillId="4" fontId="19" numFmtId="165" xfId="0" applyAlignment="1" applyFont="1" applyNumberFormat="1">
      <alignment horizontal="right"/>
    </xf>
    <xf borderId="10" fillId="5" fontId="22" numFmtId="0" xfId="0" applyAlignment="1" applyBorder="1" applyFont="1">
      <alignment vertical="bottom"/>
    </xf>
    <xf borderId="9" fillId="0" fontId="9" numFmtId="0" xfId="0" applyBorder="1" applyFont="1"/>
    <xf borderId="10" fillId="5" fontId="21" numFmtId="166" xfId="0" applyAlignment="1" applyBorder="1" applyFont="1" applyNumberFormat="1">
      <alignment horizontal="right" vertical="bottom"/>
    </xf>
    <xf borderId="9" fillId="6" fontId="23" numFmtId="166" xfId="0" applyAlignment="1" applyBorder="1" applyFont="1" applyNumberFormat="1">
      <alignment horizontal="right" readingOrder="0" vertical="bottom"/>
    </xf>
    <xf borderId="10" fillId="0" fontId="9" numFmtId="0" xfId="0" applyBorder="1" applyFont="1"/>
    <xf borderId="9" fillId="6" fontId="21" numFmtId="166" xfId="0" applyAlignment="1" applyBorder="1" applyFont="1" applyNumberFormat="1">
      <alignment horizontal="right" readingOrder="0" vertical="bottom"/>
    </xf>
    <xf borderId="10" fillId="5" fontId="22" numFmtId="0" xfId="0" applyBorder="1" applyFont="1"/>
    <xf borderId="9" fillId="6" fontId="23" numFmtId="166" xfId="0" applyAlignment="1" applyBorder="1" applyFont="1" applyNumberFormat="1">
      <alignment horizontal="right" vertical="bottom"/>
    </xf>
    <xf borderId="9" fillId="6" fontId="2" numFmtId="166" xfId="0" applyAlignment="1" applyBorder="1" applyFont="1" applyNumberFormat="1">
      <alignment vertical="bottom"/>
    </xf>
    <xf borderId="10" fillId="5" fontId="21" numFmtId="166" xfId="0" applyAlignment="1" applyBorder="1" applyFont="1" applyNumberFormat="1">
      <alignment horizontal="right"/>
    </xf>
    <xf borderId="6" fillId="3" fontId="2" numFmtId="166" xfId="0" applyAlignment="1" applyBorder="1" applyFont="1" applyNumberFormat="1">
      <alignment vertical="bottom"/>
    </xf>
    <xf borderId="10" fillId="5" fontId="2" numFmtId="166" xfId="0" applyAlignment="1" applyBorder="1" applyFont="1" applyNumberFormat="1">
      <alignment vertical="bottom"/>
    </xf>
    <xf borderId="11" fillId="0" fontId="2" numFmtId="0" xfId="0" applyAlignment="1" applyBorder="1" applyFont="1">
      <alignment vertical="bottom"/>
    </xf>
    <xf borderId="11" fillId="6" fontId="24" numFmtId="0" xfId="0" applyAlignment="1" applyBorder="1" applyFont="1">
      <alignment vertical="bottom"/>
    </xf>
    <xf borderId="10" fillId="5" fontId="2" numFmtId="166" xfId="0" applyBorder="1" applyFont="1" applyNumberFormat="1"/>
    <xf borderId="9" fillId="6" fontId="20" numFmtId="166" xfId="0" applyAlignment="1" applyBorder="1" applyFont="1" applyNumberFormat="1">
      <alignment horizontal="right" readingOrder="0" vertical="bottom"/>
    </xf>
    <xf borderId="11" fillId="6" fontId="21" numFmtId="166" xfId="0" applyAlignment="1" applyBorder="1" applyFont="1" applyNumberFormat="1">
      <alignment horizontal="right" vertical="bottom"/>
    </xf>
    <xf borderId="11" fillId="0" fontId="9" numFmtId="0" xfId="0" applyBorder="1" applyFont="1"/>
    <xf borderId="11" fillId="6" fontId="23" numFmtId="166" xfId="0" applyAlignment="1" applyBorder="1" applyFont="1" applyNumberFormat="1">
      <alignment horizontal="right" readingOrder="0" vertical="bottom"/>
    </xf>
    <xf borderId="11" fillId="6" fontId="24" numFmtId="0" xfId="0" applyBorder="1" applyFont="1"/>
    <xf borderId="11" fillId="6" fontId="21" numFmtId="166" xfId="0" applyAlignment="1" applyBorder="1" applyFont="1" applyNumberFormat="1">
      <alignment horizontal="right" readingOrder="0" vertical="bottom"/>
    </xf>
    <xf borderId="11" fillId="6" fontId="23" numFmtId="166" xfId="0" applyAlignment="1" applyBorder="1" applyFont="1" applyNumberFormat="1">
      <alignment horizontal="right" readingOrder="0"/>
    </xf>
    <xf borderId="11" fillId="6" fontId="2" numFmtId="166" xfId="0" applyAlignment="1" applyBorder="1" applyFont="1" applyNumberFormat="1">
      <alignment vertical="bottom"/>
    </xf>
    <xf borderId="11" fillId="6" fontId="21" numFmtId="166" xfId="0" applyAlignment="1" applyBorder="1" applyFont="1" applyNumberFormat="1">
      <alignment horizontal="right" readingOrder="0"/>
    </xf>
    <xf borderId="11" fillId="6" fontId="23" numFmtId="166" xfId="0" applyAlignment="1" applyBorder="1" applyFont="1" applyNumberFormat="1">
      <alignment horizontal="right" vertical="bottom"/>
    </xf>
    <xf borderId="11" fillId="6" fontId="21" numFmtId="166" xfId="0" applyAlignment="1" applyBorder="1" applyFont="1" applyNumberFormat="1">
      <alignment horizontal="right"/>
    </xf>
    <xf borderId="9" fillId="6" fontId="20" numFmtId="166" xfId="0" applyAlignment="1" applyBorder="1" applyFont="1" applyNumberFormat="1">
      <alignment horizontal="right" vertical="bottom"/>
    </xf>
    <xf borderId="9" fillId="0" fontId="20" numFmtId="166" xfId="0" applyAlignment="1" applyBorder="1" applyFont="1" applyNumberFormat="1">
      <alignment vertical="bottom"/>
    </xf>
    <xf borderId="11" fillId="0" fontId="25" numFmtId="0" xfId="0" applyAlignment="1" applyBorder="1" applyFont="1">
      <alignment vertical="bottom"/>
    </xf>
    <xf borderId="11" fillId="0" fontId="25" numFmtId="0" xfId="0" applyBorder="1" applyFont="1"/>
    <xf borderId="9" fillId="6" fontId="26" numFmtId="166" xfId="0" applyAlignment="1" applyBorder="1" applyFont="1" applyNumberFormat="1">
      <alignment horizontal="right" vertical="bottom"/>
    </xf>
    <xf borderId="11" fillId="6" fontId="24" numFmtId="0" xfId="0" applyAlignment="1" applyBorder="1" applyFont="1">
      <alignment readingOrder="0"/>
    </xf>
    <xf borderId="11" fillId="6" fontId="24" numFmtId="0" xfId="0" applyAlignment="1" applyBorder="1" applyFont="1">
      <alignment vertical="bottom"/>
    </xf>
    <xf borderId="9" fillId="6" fontId="27" numFmtId="166" xfId="0" applyAlignment="1" applyBorder="1" applyFont="1" applyNumberFormat="1">
      <alignment horizontal="right" readingOrder="0" vertical="bottom"/>
    </xf>
    <xf borderId="9" fillId="0" fontId="23" numFmtId="166" xfId="0" applyAlignment="1" applyBorder="1" applyFont="1" applyNumberFormat="1">
      <alignment horizontal="right" vertical="bottom"/>
    </xf>
    <xf borderId="11" fillId="5" fontId="2" numFmtId="166" xfId="0" applyBorder="1" applyFont="1" applyNumberFormat="1"/>
    <xf borderId="11" fillId="5" fontId="22" numFmtId="0" xfId="0" applyBorder="1" applyFont="1"/>
    <xf borderId="11" fillId="5" fontId="21" numFmtId="166" xfId="0" applyAlignment="1" applyBorder="1" applyFont="1" applyNumberFormat="1">
      <alignment horizontal="right"/>
    </xf>
    <xf borderId="11" fillId="7" fontId="23" numFmtId="166" xfId="0" applyAlignment="1" applyBorder="1" applyFill="1" applyFont="1" applyNumberFormat="1">
      <alignment horizontal="right" vertical="bottom"/>
    </xf>
    <xf borderId="9" fillId="5" fontId="13" numFmtId="166" xfId="0" applyAlignment="1" applyBorder="1" applyFont="1" applyNumberFormat="1">
      <alignment vertical="bottom"/>
    </xf>
    <xf borderId="11" fillId="6" fontId="2" numFmtId="0" xfId="0" applyAlignment="1" applyBorder="1" applyFont="1">
      <alignment vertical="bottom"/>
    </xf>
    <xf borderId="9" fillId="5" fontId="14" numFmtId="166" xfId="0" applyAlignment="1" applyBorder="1" applyFont="1" applyNumberFormat="1">
      <alignment vertical="bottom"/>
    </xf>
    <xf borderId="11" fillId="6" fontId="28" numFmtId="166" xfId="0" applyAlignment="1" applyBorder="1" applyFont="1" applyNumberFormat="1">
      <alignment horizontal="right" readingOrder="0"/>
    </xf>
    <xf borderId="9" fillId="5" fontId="15" numFmtId="166" xfId="0" applyAlignment="1" applyBorder="1" applyFont="1" applyNumberFormat="1">
      <alignment horizontal="right" vertical="bottom"/>
    </xf>
    <xf borderId="11" fillId="6" fontId="2" numFmtId="166" xfId="0" applyBorder="1" applyFont="1" applyNumberFormat="1"/>
    <xf borderId="11" fillId="5" fontId="2" numFmtId="166" xfId="0" applyAlignment="1" applyBorder="1" applyFont="1" applyNumberFormat="1">
      <alignment vertical="bottom"/>
    </xf>
    <xf borderId="9" fillId="5" fontId="29" numFmtId="166" xfId="0" applyAlignment="1" applyBorder="1" applyFont="1" applyNumberFormat="1">
      <alignment horizontal="right" vertical="bottom"/>
    </xf>
    <xf borderId="11" fillId="5" fontId="22" numFmtId="0" xfId="0" applyAlignment="1" applyBorder="1" applyFont="1">
      <alignment vertical="bottom"/>
    </xf>
    <xf borderId="9" fillId="6" fontId="2" numFmtId="0" xfId="0" applyAlignment="1" applyBorder="1" applyFont="1">
      <alignment vertical="bottom"/>
    </xf>
    <xf borderId="11" fillId="5" fontId="21" numFmtId="166" xfId="0" applyAlignment="1" applyBorder="1" applyFont="1" applyNumberFormat="1">
      <alignment horizontal="right" vertical="bottom"/>
    </xf>
    <xf borderId="9" fillId="6" fontId="20" numFmtId="0" xfId="0" applyAlignment="1" applyBorder="1" applyFont="1">
      <alignment vertical="bottom"/>
    </xf>
    <xf borderId="12" fillId="6" fontId="2" numFmtId="0" xfId="0" applyAlignment="1" applyBorder="1" applyFont="1">
      <alignment vertical="bottom"/>
    </xf>
    <xf borderId="12" fillId="6" fontId="24" numFmtId="0" xfId="0" applyBorder="1" applyFont="1"/>
    <xf borderId="12" fillId="6" fontId="21" numFmtId="166" xfId="0" applyAlignment="1" applyBorder="1" applyFont="1" applyNumberFormat="1">
      <alignment horizontal="right"/>
    </xf>
    <xf borderId="12" fillId="0" fontId="9" numFmtId="0" xfId="0" applyBorder="1" applyFont="1"/>
    <xf borderId="12" fillId="6" fontId="21" numFmtId="166" xfId="0" applyAlignment="1" applyBorder="1" applyFont="1" applyNumberFormat="1">
      <alignment horizontal="right" readingOrder="0"/>
    </xf>
    <xf borderId="12" fillId="6" fontId="2" numFmtId="166" xfId="0" applyAlignment="1" applyBorder="1" applyFont="1" applyNumberFormat="1">
      <alignment vertical="bottom"/>
    </xf>
    <xf borderId="13" fillId="3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4" fillId="6" fontId="2" numFmtId="0" xfId="0" applyAlignment="1" applyBorder="1" applyFont="1">
      <alignment vertical="bottom"/>
    </xf>
    <xf borderId="14" fillId="6" fontId="20" numFmtId="0" xfId="0" applyAlignment="1" applyBorder="1" applyFont="1">
      <alignment vertical="bottom"/>
    </xf>
    <xf borderId="14" fillId="6" fontId="21" numFmtId="166" xfId="0" applyAlignment="1" applyBorder="1" applyFont="1" applyNumberFormat="1">
      <alignment horizontal="right" readingOrder="0" vertical="bottom"/>
    </xf>
    <xf borderId="14" fillId="0" fontId="9" numFmtId="0" xfId="0" applyBorder="1" applyFont="1"/>
    <xf borderId="14" fillId="6" fontId="21" numFmtId="166" xfId="0" applyAlignment="1" applyBorder="1" applyFont="1" applyNumberFormat="1">
      <alignment horizontal="right" vertical="bottom"/>
    </xf>
    <xf borderId="14" fillId="6" fontId="2" numFmtId="166" xfId="0" applyAlignment="1" applyBorder="1" applyFont="1" applyNumberFormat="1">
      <alignment vertical="bottom"/>
    </xf>
    <xf borderId="0" fillId="2" fontId="12" numFmtId="0" xfId="0" applyAlignment="1" applyFont="1">
      <alignment horizontal="right" readingOrder="0" vertical="bottom"/>
    </xf>
    <xf borderId="12" fillId="6" fontId="24" numFmtId="0" xfId="0" applyAlignment="1" applyBorder="1" applyFont="1">
      <alignment vertical="bottom"/>
    </xf>
    <xf borderId="15" fillId="3" fontId="2" numFmtId="0" xfId="0" applyAlignment="1" applyBorder="1" applyFont="1">
      <alignment vertical="bottom"/>
    </xf>
    <xf borderId="12" fillId="6" fontId="21" numFmtId="166" xfId="0" applyAlignment="1" applyBorder="1" applyFont="1" applyNumberFormat="1">
      <alignment horizontal="right" readingOrder="0" vertical="bottom"/>
    </xf>
    <xf borderId="12" fillId="6" fontId="21" numFmtId="166" xfId="0" applyAlignment="1" applyBorder="1" applyFont="1" applyNumberFormat="1">
      <alignment horizontal="right" vertical="bottom"/>
    </xf>
    <xf borderId="4" fillId="4" fontId="17" numFmtId="165" xfId="0" applyAlignment="1" applyBorder="1" applyFont="1" applyNumberFormat="1">
      <alignment horizontal="center" readingOrder="0"/>
    </xf>
    <xf borderId="0" fillId="2" fontId="1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30" numFmtId="166" xfId="0" applyAlignment="1" applyFont="1" applyNumberFormat="1">
      <alignment horizontal="right" readingOrder="0" vertical="bottom"/>
    </xf>
    <xf borderId="0" fillId="2" fontId="31" numFmtId="0" xfId="0" applyAlignment="1" applyFont="1">
      <alignment horizontal="center" readingOrder="0" vertical="bottom"/>
    </xf>
    <xf borderId="0" fillId="2" fontId="32" numFmtId="10" xfId="0" applyAlignment="1" applyFont="1" applyNumberFormat="1">
      <alignment horizontal="right" readingOrder="0" vertical="bottom"/>
    </xf>
    <xf borderId="0" fillId="2" fontId="32" numFmtId="166" xfId="0" applyAlignment="1" applyFont="1" applyNumberFormat="1">
      <alignment horizontal="right" readingOrder="0" vertical="bottom"/>
    </xf>
    <xf borderId="0" fillId="2" fontId="33" numFmtId="166" xfId="0" applyAlignment="1" applyFont="1" applyNumberFormat="1">
      <alignment horizontal="right" vertical="bottom"/>
    </xf>
    <xf borderId="0" fillId="2" fontId="33" numFmtId="10" xfId="0" applyAlignment="1" applyFont="1" applyNumberFormat="1">
      <alignment horizontal="right" vertical="bottom"/>
    </xf>
    <xf borderId="0" fillId="2" fontId="34" numFmtId="0" xfId="0" applyAlignment="1" applyFont="1">
      <alignment horizontal="right" readingOrder="0" vertical="bottom"/>
    </xf>
    <xf borderId="16" fillId="2" fontId="1" numFmtId="164" xfId="0" applyAlignment="1" applyBorder="1" applyFont="1" applyNumberFormat="1">
      <alignment horizontal="center" readingOrder="0" vertical="center"/>
    </xf>
    <xf borderId="17" fillId="0" fontId="9" numFmtId="0" xfId="0" applyBorder="1" applyFont="1"/>
    <xf borderId="18" fillId="2" fontId="30" numFmtId="166" xfId="0" applyAlignment="1" applyBorder="1" applyFont="1" applyNumberFormat="1">
      <alignment horizontal="right" readingOrder="0" vertical="bottom"/>
    </xf>
    <xf borderId="18" fillId="0" fontId="9" numFmtId="0" xfId="0" applyBorder="1" applyFont="1"/>
    <xf borderId="0" fillId="2" fontId="32" numFmtId="166" xfId="0" applyAlignment="1" applyFont="1" applyNumberFormat="1">
      <alignment horizontal="right" vertical="bottom"/>
    </xf>
    <xf borderId="0" fillId="4" fontId="10" numFmtId="165" xfId="0" applyAlignment="1" applyFont="1" applyNumberFormat="1">
      <alignment horizontal="center" readingOrder="0" vertical="bottom"/>
    </xf>
    <xf borderId="0" fillId="2" fontId="35" numFmtId="0" xfId="0" applyAlignment="1" applyFont="1">
      <alignment horizontal="center" readingOrder="0" vertical="top"/>
    </xf>
    <xf borderId="0" fillId="2" fontId="35" numFmtId="0" xfId="0" applyAlignment="1" applyFont="1">
      <alignment horizontal="right" vertical="top"/>
    </xf>
    <xf borderId="0" fillId="2" fontId="16" numFmtId="0" xfId="0" applyAlignment="1" applyFont="1">
      <alignment horizontal="right" readingOrder="0" vertical="top"/>
    </xf>
    <xf borderId="19" fillId="3" fontId="36" numFmtId="0" xfId="0" applyAlignment="1" applyBorder="1" applyFont="1">
      <alignment horizontal="center" readingOrder="0" vertical="center"/>
    </xf>
    <xf borderId="20" fillId="0" fontId="9" numFmtId="0" xfId="0" applyBorder="1" applyFont="1"/>
    <xf borderId="20" fillId="3" fontId="37" numFmtId="0" xfId="0" applyBorder="1" applyFont="1"/>
    <xf borderId="20" fillId="3" fontId="37" numFmtId="0" xfId="0" applyAlignment="1" applyBorder="1" applyFont="1">
      <alignment readingOrder="0"/>
    </xf>
    <xf borderId="0" fillId="3" fontId="37" numFmtId="0" xfId="0" applyFont="1"/>
    <xf borderId="0" fillId="4" fontId="38" numFmtId="0" xfId="0" applyAlignment="1" applyFont="1">
      <alignment horizontal="center" readingOrder="0" vertical="center"/>
    </xf>
    <xf borderId="0" fillId="3" fontId="36" numFmtId="0" xfId="0" applyAlignment="1" applyFont="1">
      <alignment horizontal="center" readingOrder="0" vertical="center"/>
    </xf>
    <xf borderId="0" fillId="4" fontId="39" numFmtId="165" xfId="0" applyAlignment="1" applyFont="1" applyNumberFormat="1">
      <alignment horizontal="center" readingOrder="0" vertical="center"/>
    </xf>
    <xf borderId="21" fillId="4" fontId="38" numFmtId="0" xfId="0" applyAlignment="1" applyBorder="1" applyFont="1">
      <alignment horizontal="center" readingOrder="0" vertical="center"/>
    </xf>
    <xf borderId="22" fillId="4" fontId="38" numFmtId="0" xfId="0" applyAlignment="1" applyBorder="1" applyFont="1">
      <alignment horizontal="center" readingOrder="0" vertical="center"/>
    </xf>
    <xf borderId="23" fillId="4" fontId="39" numFmtId="165" xfId="0" applyAlignment="1" applyBorder="1" applyFont="1" applyNumberFormat="1">
      <alignment horizontal="right" readingOrder="0"/>
    </xf>
    <xf borderId="23" fillId="4" fontId="38" numFmtId="0" xfId="0" applyAlignment="1" applyBorder="1" applyFont="1">
      <alignment horizontal="left" vertical="center"/>
    </xf>
    <xf borderId="23" fillId="4" fontId="40" numFmtId="165" xfId="0" applyAlignment="1" applyBorder="1" applyFont="1" applyNumberFormat="1">
      <alignment horizontal="right" readingOrder="0" vertical="center"/>
    </xf>
    <xf borderId="23" fillId="0" fontId="9" numFmtId="0" xfId="0" applyBorder="1" applyFont="1"/>
    <xf borderId="7" fillId="3" fontId="37" numFmtId="0" xfId="0" applyBorder="1" applyFont="1"/>
    <xf borderId="24" fillId="2" fontId="41" numFmtId="0" xfId="0" applyAlignment="1" applyBorder="1" applyFont="1">
      <alignment horizontal="center" readingOrder="0" vertical="center"/>
    </xf>
    <xf borderId="25" fillId="2" fontId="41" numFmtId="167" xfId="0" applyAlignment="1" applyBorder="1" applyFont="1" applyNumberFormat="1">
      <alignment horizontal="center" readingOrder="0" vertical="center"/>
    </xf>
    <xf borderId="26" fillId="5" fontId="37" numFmtId="0" xfId="0" applyBorder="1" applyFont="1"/>
    <xf borderId="27" fillId="5" fontId="42" numFmtId="0" xfId="0" applyAlignment="1" applyBorder="1" applyFont="1">
      <alignment readingOrder="0" vertical="center"/>
    </xf>
    <xf borderId="27" fillId="5" fontId="43" numFmtId="166" xfId="0" applyAlignment="1" applyBorder="1" applyFont="1" applyNumberFormat="1">
      <alignment horizontal="right" readingOrder="0" vertical="center"/>
    </xf>
    <xf borderId="27" fillId="0" fontId="9" numFmtId="0" xfId="0" applyBorder="1" applyFont="1"/>
    <xf borderId="26" fillId="0" fontId="37" numFmtId="0" xfId="0" applyBorder="1" applyFont="1"/>
    <xf borderId="27" fillId="6" fontId="24" numFmtId="0" xfId="0" applyAlignment="1" applyBorder="1" applyFont="1">
      <alignment readingOrder="0" vertical="center"/>
    </xf>
    <xf borderId="27" fillId="6" fontId="43" numFmtId="166" xfId="0" applyAlignment="1" applyBorder="1" applyFont="1" applyNumberFormat="1">
      <alignment horizontal="right" readingOrder="0" vertical="center"/>
    </xf>
    <xf borderId="28" fillId="6" fontId="43" numFmtId="166" xfId="0" applyAlignment="1" applyBorder="1" applyFont="1" applyNumberFormat="1">
      <alignment horizontal="right" readingOrder="0"/>
    </xf>
    <xf borderId="25" fillId="2" fontId="41" numFmtId="0" xfId="0" applyAlignment="1" applyBorder="1" applyFont="1">
      <alignment horizontal="center" readingOrder="0" vertical="center"/>
    </xf>
    <xf borderId="29" fillId="0" fontId="25" numFmtId="0" xfId="0" applyAlignment="1" applyBorder="1" applyFont="1">
      <alignment readingOrder="0" vertical="center"/>
    </xf>
    <xf borderId="26" fillId="2" fontId="41" numFmtId="0" xfId="0" applyAlignment="1" applyBorder="1" applyFont="1">
      <alignment horizontal="center" readingOrder="0" vertical="center"/>
    </xf>
    <xf borderId="28" fillId="2" fontId="41" numFmtId="0" xfId="0" applyAlignment="1" applyBorder="1" applyFont="1">
      <alignment horizontal="center" readingOrder="0" vertical="center"/>
    </xf>
    <xf borderId="6" fillId="3" fontId="36" numFmtId="0" xfId="0" applyAlignment="1" applyBorder="1" applyFont="1">
      <alignment horizontal="center" readingOrder="0" vertical="center"/>
    </xf>
    <xf borderId="24" fillId="0" fontId="37" numFmtId="0" xfId="0" applyBorder="1" applyFont="1"/>
    <xf borderId="0" fillId="6" fontId="24" numFmtId="0" xfId="0" applyAlignment="1" applyFont="1">
      <alignment readingOrder="0" vertical="center"/>
    </xf>
    <xf borderId="0" fillId="6" fontId="43" numFmtId="166" xfId="0" applyAlignment="1" applyFont="1" applyNumberFormat="1">
      <alignment horizontal="right" readingOrder="0" vertical="center"/>
    </xf>
    <xf borderId="25" fillId="6" fontId="43" numFmtId="166" xfId="0" applyAlignment="1" applyBorder="1" applyFont="1" applyNumberFormat="1">
      <alignment horizontal="right" readingOrder="0"/>
    </xf>
    <xf borderId="30" fillId="5" fontId="43" numFmtId="166" xfId="0" applyAlignment="1" applyBorder="1" applyFont="1" applyNumberFormat="1">
      <alignment horizontal="right" readingOrder="0" vertical="center"/>
    </xf>
    <xf borderId="30" fillId="5" fontId="42" numFmtId="0" xfId="0" applyAlignment="1" applyBorder="1" applyFont="1">
      <alignment readingOrder="0" vertical="center"/>
    </xf>
    <xf borderId="30" fillId="0" fontId="9" numFmtId="0" xfId="0" applyBorder="1" applyFont="1"/>
    <xf borderId="26" fillId="6" fontId="37" numFmtId="0" xfId="0" applyBorder="1" applyFont="1"/>
    <xf borderId="9" fillId="0" fontId="20" numFmtId="166" xfId="0" applyAlignment="1" applyBorder="1" applyFont="1" applyNumberFormat="1">
      <alignment horizontal="right" vertical="bottom"/>
    </xf>
    <xf borderId="6" fillId="3" fontId="37" numFmtId="0" xfId="0" applyBorder="1" applyFont="1"/>
    <xf borderId="15" fillId="3" fontId="37" numFmtId="0" xfId="0" applyBorder="1" applyFont="1"/>
    <xf borderId="13" fillId="3" fontId="37" numFmtId="0" xfId="0" applyBorder="1" applyFont="1"/>
    <xf borderId="1" fillId="3" fontId="37" numFmtId="0" xfId="0" applyBorder="1" applyFont="1"/>
    <xf borderId="17" fillId="3" fontId="37" numFmtId="0" xfId="0" applyBorder="1" applyFont="1"/>
    <xf borderId="4" fillId="2" fontId="35" numFmtId="0" xfId="0" applyAlignment="1" applyBorder="1" applyFont="1">
      <alignment horizontal="right" vertical="top"/>
    </xf>
    <xf borderId="4" fillId="2" fontId="16" numFmtId="0" xfId="0" applyAlignment="1" applyBorder="1" applyFont="1">
      <alignment horizontal="right" readingOrder="0" vertical="top"/>
    </xf>
    <xf borderId="17" fillId="4" fontId="39" numFmtId="165" xfId="0" applyAlignment="1" applyBorder="1" applyFont="1" applyNumberFormat="1">
      <alignment horizontal="center" readingOrder="0" vertical="center"/>
    </xf>
    <xf borderId="27" fillId="6" fontId="43" numFmtId="166" xfId="0" applyAlignment="1" applyBorder="1" applyFont="1" applyNumberFormat="1">
      <alignment horizontal="right" readingOrder="0"/>
    </xf>
    <xf borderId="11" fillId="7" fontId="21" numFmtId="166" xfId="0" applyAlignment="1" applyBorder="1" applyFont="1" applyNumberFormat="1">
      <alignment horizontal="right" readingOrder="0"/>
    </xf>
    <xf borderId="0" fillId="0" fontId="37" numFmtId="0" xfId="0" applyAlignment="1" applyFont="1">
      <alignment readingOrder="0"/>
    </xf>
    <xf borderId="0" fillId="6" fontId="43" numFmtId="166" xfId="0" applyAlignment="1" applyFont="1" applyNumberFormat="1">
      <alignment horizontal="right" readingOrder="0"/>
    </xf>
    <xf borderId="4" fillId="4" fontId="10" numFmtId="165" xfId="0" applyAlignment="1" applyBorder="1" applyFont="1" applyNumberFormat="1">
      <alignment horizontal="center" readingOrder="0"/>
    </xf>
    <xf borderId="9" fillId="6" fontId="26" numFmtId="166" xfId="0" applyAlignment="1" applyBorder="1" applyFont="1" applyNumberFormat="1">
      <alignment horizontal="right" readingOrder="0" vertical="bottom"/>
    </xf>
    <xf borderId="11" fillId="6" fontId="2" numFmtId="166" xfId="0" applyAlignment="1" applyBorder="1" applyFont="1" applyNumberFormat="1">
      <alignment readingOrder="0" vertical="bottom"/>
    </xf>
    <xf borderId="31" fillId="6" fontId="43" numFmtId="166" xfId="0" applyAlignment="1" applyBorder="1" applyFont="1" applyNumberFormat="1">
      <alignment horizontal="right" readingOrder="0" vertical="center"/>
    </xf>
    <xf borderId="11" fillId="0" fontId="25" numFmtId="0" xfId="0" applyAlignment="1" applyBorder="1" applyFont="1">
      <alignment readingOrder="0"/>
    </xf>
    <xf borderId="5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1" fillId="7" fontId="44" numFmtId="166" xfId="0" applyAlignment="1" applyBorder="1" applyFont="1" applyNumberFormat="1">
      <alignment horizontal="right"/>
    </xf>
    <xf borderId="11" fillId="6" fontId="21" numFmtId="0" xfId="0" applyAlignment="1" applyBorder="1" applyFont="1">
      <alignment horizontal="right" readingOrder="0"/>
    </xf>
    <xf borderId="9" fillId="6" fontId="45" numFmtId="166" xfId="0" applyAlignment="1" applyBorder="1" applyFont="1" applyNumberFormat="1">
      <alignment horizontal="right" readingOrder="0" vertical="bottom"/>
    </xf>
    <xf borderId="0" fillId="8" fontId="2" numFmtId="0" xfId="0" applyAlignment="1" applyFill="1" applyFont="1">
      <alignment readingOrder="0" vertical="bottom"/>
    </xf>
    <xf borderId="10" fillId="0" fontId="46" numFmtId="166" xfId="0" applyAlignment="1" applyBorder="1" applyFont="1" applyNumberFormat="1">
      <alignment readingOrder="0"/>
    </xf>
    <xf borderId="24" fillId="6" fontId="37" numFmtId="0" xfId="0" applyBorder="1" applyFont="1"/>
    <xf borderId="32" fillId="3" fontId="36" numFmtId="0" xfId="0" applyAlignment="1" applyBorder="1" applyFont="1">
      <alignment horizontal="center" readingOrder="0" vertical="center"/>
    </xf>
    <xf borderId="9" fillId="6" fontId="20" numFmtId="166" xfId="0" applyAlignment="1" applyBorder="1" applyFont="1" applyNumberFormat="1">
      <alignment readingOrder="0" vertical="bottom"/>
    </xf>
    <xf borderId="11" fillId="6" fontId="21" numFmtId="4" xfId="0" applyAlignment="1" applyBorder="1" applyFont="1" applyNumberFormat="1">
      <alignment horizontal="right" readingOrder="0"/>
    </xf>
    <xf borderId="27" fillId="7" fontId="43" numFmtId="166" xfId="0" applyAlignment="1" applyBorder="1" applyFont="1" applyNumberFormat="1">
      <alignment horizontal="right" readingOrder="0" vertical="center"/>
    </xf>
    <xf borderId="1" fillId="2" fontId="2" numFmtId="164" xfId="0" applyAlignment="1" applyBorder="1" applyFont="1" applyNumberFormat="1">
      <alignment vertical="bottom"/>
    </xf>
    <xf borderId="0" fillId="2" fontId="2" numFmtId="164" xfId="0" applyAlignment="1" applyFont="1" applyNumberFormat="1">
      <alignment vertical="bottom"/>
    </xf>
    <xf borderId="11" fillId="7" fontId="21" numFmtId="166" xfId="0" applyAlignment="1" applyBorder="1" applyFont="1" applyNumberFormat="1">
      <alignment horizontal="right"/>
    </xf>
    <xf borderId="0" fillId="2" fontId="47" numFmtId="168" xfId="0" applyAlignment="1" applyFont="1" applyNumberFormat="1">
      <alignment horizontal="right" readingOrder="0" vertical="bottom"/>
    </xf>
    <xf borderId="0" fillId="9" fontId="48" numFmtId="0" xfId="0" applyAlignment="1" applyFill="1" applyFont="1">
      <alignment horizontal="right" readingOrder="0" vertical="bottom"/>
    </xf>
    <xf borderId="27" fillId="0" fontId="43" numFmtId="166" xfId="0" applyAlignment="1" applyBorder="1" applyFont="1" applyNumberFormat="1">
      <alignment horizontal="right" readingOrder="0" vertical="center"/>
    </xf>
    <xf borderId="0" fillId="10" fontId="49" numFmtId="0" xfId="0" applyFill="1" applyFont="1"/>
    <xf borderId="1" fillId="10" fontId="50" numFmtId="0" xfId="0" applyAlignment="1" applyBorder="1" applyFont="1">
      <alignment horizontal="center" readingOrder="0"/>
    </xf>
    <xf borderId="1" fillId="0" fontId="9" numFmtId="0" xfId="0" applyBorder="1" applyFont="1"/>
    <xf borderId="33" fillId="10" fontId="51" numFmtId="0" xfId="0" applyAlignment="1" applyBorder="1" applyFont="1">
      <alignment horizontal="center" readingOrder="0"/>
    </xf>
    <xf borderId="0" fillId="10" fontId="52" numFmtId="0" xfId="0" applyAlignment="1" applyFont="1">
      <alignment horizontal="center" readingOrder="0" vertical="center"/>
    </xf>
    <xf borderId="33" fillId="10" fontId="52" numFmtId="166" xfId="0" applyAlignment="1" applyBorder="1" applyFont="1" applyNumberFormat="1">
      <alignment horizontal="center" readingOrder="0" vertical="center"/>
    </xf>
    <xf borderId="33" fillId="10" fontId="36" numFmtId="0" xfId="0" applyAlignment="1" applyBorder="1" applyFont="1">
      <alignment horizontal="center" readingOrder="0" vertical="center"/>
    </xf>
    <xf borderId="33" fillId="10" fontId="36" numFmtId="166" xfId="0" applyAlignment="1" applyBorder="1" applyFont="1" applyNumberFormat="1">
      <alignment horizontal="center" readingOrder="0" vertical="center"/>
    </xf>
    <xf borderId="33" fillId="10" fontId="50" numFmtId="0" xfId="0" applyAlignment="1" applyBorder="1" applyFont="1">
      <alignment horizontal="center" readingOrder="0"/>
    </xf>
    <xf borderId="33" fillId="10" fontId="53" numFmtId="166" xfId="0" applyAlignment="1" applyBorder="1" applyFont="1" applyNumberFormat="1">
      <alignment horizontal="center" vertical="bottom"/>
    </xf>
    <xf borderId="33" fillId="11" fontId="51" numFmtId="0" xfId="0" applyAlignment="1" applyBorder="1" applyFill="1" applyFont="1">
      <alignment horizontal="center" readingOrder="0"/>
    </xf>
    <xf borderId="34" fillId="6" fontId="24" numFmtId="0" xfId="0" applyAlignment="1" applyBorder="1" applyFont="1">
      <alignment readingOrder="0" vertical="center"/>
    </xf>
    <xf borderId="34" fillId="6" fontId="37" numFmtId="166" xfId="0" applyAlignment="1" applyBorder="1" applyFont="1" applyNumberFormat="1">
      <alignment readingOrder="0"/>
    </xf>
    <xf borderId="33" fillId="11" fontId="36" numFmtId="0" xfId="0" applyAlignment="1" applyBorder="1" applyFont="1">
      <alignment horizontal="center" readingOrder="0" vertical="center"/>
    </xf>
    <xf borderId="33" fillId="11" fontId="36" numFmtId="166" xfId="0" applyAlignment="1" applyBorder="1" applyFont="1" applyNumberFormat="1">
      <alignment horizontal="center" readingOrder="0" vertical="center"/>
    </xf>
    <xf borderId="33" fillId="11" fontId="51" numFmtId="10" xfId="0" applyAlignment="1" applyBorder="1" applyFont="1" applyNumberFormat="1">
      <alignment horizontal="center" readingOrder="0"/>
    </xf>
    <xf borderId="34" fillId="0" fontId="25" numFmtId="0" xfId="0" applyAlignment="1" applyBorder="1" applyFont="1">
      <alignment readingOrder="0" vertical="center"/>
    </xf>
    <xf borderId="35" fillId="12" fontId="52" numFmtId="0" xfId="0" applyAlignment="1" applyBorder="1" applyFill="1" applyFont="1">
      <alignment horizontal="center" readingOrder="0" vertical="center"/>
    </xf>
    <xf borderId="36" fillId="0" fontId="9" numFmtId="0" xfId="0" applyBorder="1" applyFont="1"/>
    <xf borderId="37" fillId="0" fontId="9" numFmtId="0" xfId="0" applyBorder="1" applyFont="1"/>
    <xf borderId="38" fillId="0" fontId="9" numFmtId="0" xfId="0" applyBorder="1" applyFont="1"/>
    <xf borderId="39" fillId="0" fontId="9" numFmtId="0" xfId="0" applyBorder="1" applyFont="1"/>
    <xf borderId="40" fillId="0" fontId="9" numFmtId="0" xfId="0" applyBorder="1" applyFont="1"/>
    <xf borderId="0" fillId="12" fontId="49" numFmtId="0" xfId="0" applyAlignment="1" applyFont="1">
      <alignment readingOrder="0"/>
    </xf>
    <xf borderId="41" fillId="13" fontId="54" numFmtId="0" xfId="0" applyAlignment="1" applyBorder="1" applyFill="1" applyFont="1">
      <alignment horizontal="center" readingOrder="0"/>
    </xf>
    <xf borderId="42" fillId="0" fontId="9" numFmtId="0" xfId="0" applyBorder="1" applyFont="1"/>
    <xf borderId="43" fillId="0" fontId="9" numFmtId="0" xfId="0" applyBorder="1" applyFont="1"/>
    <xf borderId="13" fillId="13" fontId="54" numFmtId="0" xfId="0" applyAlignment="1" applyBorder="1" applyFont="1">
      <alignment horizontal="center" readingOrder="0"/>
    </xf>
    <xf borderId="13" fillId="0" fontId="9" numFmtId="0" xfId="0" applyBorder="1" applyFont="1"/>
    <xf borderId="44" fillId="0" fontId="9" numFmtId="0" xfId="0" applyBorder="1" applyFont="1"/>
    <xf borderId="45" fillId="12" fontId="49" numFmtId="0" xfId="0" applyAlignment="1" applyBorder="1" applyFont="1">
      <alignment horizontal="center" readingOrder="0" vertical="center"/>
    </xf>
    <xf borderId="46" fillId="0" fontId="9" numFmtId="0" xfId="0" applyBorder="1" applyFont="1"/>
    <xf borderId="47" fillId="12" fontId="54" numFmtId="0" xfId="0" applyAlignment="1" applyBorder="1" applyFont="1">
      <alignment horizontal="center" readingOrder="0"/>
    </xf>
    <xf borderId="48" fillId="0" fontId="9" numFmtId="0" xfId="0" applyBorder="1" applyFont="1"/>
    <xf borderId="49" fillId="0" fontId="9" numFmtId="0" xfId="0" applyBorder="1" applyFont="1"/>
    <xf borderId="0" fillId="0" fontId="2" numFmtId="0" xfId="0" applyAlignment="1" applyFont="1">
      <alignment horizontal="center" readingOrder="0"/>
    </xf>
    <xf borderId="50" fillId="0" fontId="37" numFmtId="0" xfId="0" applyAlignment="1" applyBorder="1" applyFont="1">
      <alignment readingOrder="0"/>
    </xf>
    <xf borderId="16" fillId="0" fontId="37" numFmtId="0" xfId="0" applyAlignment="1" applyBorder="1" applyFont="1">
      <alignment readingOrder="0"/>
    </xf>
    <xf borderId="51" fillId="0" fontId="9" numFmtId="0" xfId="0" applyBorder="1" applyFont="1"/>
    <xf borderId="52" fillId="0" fontId="37" numFmtId="0" xfId="0" applyAlignment="1" applyBorder="1" applyFont="1">
      <alignment readingOrder="0"/>
    </xf>
    <xf borderId="5" fillId="0" fontId="37" numFmtId="0" xfId="0" applyAlignment="1" applyBorder="1" applyFont="1">
      <alignment readingOrder="0"/>
    </xf>
    <xf borderId="53" fillId="0" fontId="37" numFmtId="0" xfId="0" applyAlignment="1" applyBorder="1" applyFont="1">
      <alignment readingOrder="0"/>
    </xf>
    <xf borderId="54" fillId="0" fontId="37" numFmtId="0" xfId="0" applyAlignment="1" applyBorder="1" applyFont="1">
      <alignment readingOrder="0"/>
    </xf>
    <xf borderId="55" fillId="0" fontId="37" numFmtId="0" xfId="0" applyAlignment="1" applyBorder="1" applyFont="1">
      <alignment readingOrder="0"/>
    </xf>
    <xf borderId="52" fillId="0" fontId="2" numFmtId="0" xfId="0" applyAlignment="1" applyBorder="1" applyFont="1">
      <alignment horizontal="right" vertical="bottom"/>
    </xf>
    <xf borderId="56" fillId="0" fontId="2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right" vertical="bottom"/>
    </xf>
    <xf borderId="0" fillId="0" fontId="2" numFmtId="0" xfId="0" applyAlignment="1" applyFont="1">
      <alignment horizontal="right" vertical="bottom"/>
    </xf>
    <xf borderId="57" fillId="14" fontId="0" numFmtId="0" xfId="0" applyAlignment="1" applyBorder="1" applyFill="1" applyFont="1">
      <alignment horizontal="center"/>
    </xf>
    <xf borderId="58" fillId="8" fontId="0" numFmtId="0" xfId="0" applyAlignment="1" applyBorder="1" applyFont="1">
      <alignment horizontal="center"/>
    </xf>
    <xf borderId="57" fillId="8" fontId="37" numFmtId="0" xfId="0" applyAlignment="1" applyBorder="1" applyFont="1">
      <alignment readingOrder="0"/>
    </xf>
    <xf borderId="59" fillId="8" fontId="37" numFmtId="0" xfId="0" applyBorder="1" applyFont="1"/>
    <xf borderId="60" fillId="8" fontId="37" numFmtId="0" xfId="0" applyBorder="1" applyFont="1"/>
    <xf borderId="59" fillId="8" fontId="37" numFmtId="0" xfId="0" applyAlignment="1" applyBorder="1" applyFont="1">
      <alignment readingOrder="0"/>
    </xf>
    <xf borderId="58" fillId="8" fontId="37" numFmtId="0" xfId="0" applyBorder="1" applyFont="1"/>
    <xf borderId="57" fillId="8" fontId="2" numFmtId="0" xfId="0" applyAlignment="1" applyBorder="1" applyFont="1">
      <alignment readingOrder="0" vertical="bottom"/>
    </xf>
    <xf borderId="61" fillId="8" fontId="2" numFmtId="0" xfId="0" applyAlignment="1" applyBorder="1" applyFont="1">
      <alignment readingOrder="0" vertical="bottom"/>
    </xf>
    <xf borderId="61" fillId="8" fontId="2" numFmtId="0" xfId="0" applyAlignment="1" applyBorder="1" applyFont="1">
      <alignment vertical="bottom"/>
    </xf>
    <xf borderId="49" fillId="8" fontId="2" numFmtId="0" xfId="0" applyAlignment="1" applyBorder="1" applyFont="1">
      <alignment readingOrder="0" vertical="bottom"/>
    </xf>
    <xf borderId="62" fillId="15" fontId="0" numFmtId="0" xfId="0" applyAlignment="1" applyBorder="1" applyFill="1" applyFont="1">
      <alignment horizontal="center"/>
    </xf>
    <xf borderId="63" fillId="16" fontId="0" numFmtId="0" xfId="0" applyAlignment="1" applyBorder="1" applyFill="1" applyFont="1">
      <alignment horizontal="center" readingOrder="0"/>
    </xf>
    <xf borderId="64" fillId="0" fontId="9" numFmtId="0" xfId="0" applyBorder="1" applyFont="1"/>
    <xf borderId="65" fillId="0" fontId="9" numFmtId="0" xfId="0" applyBorder="1" applyFont="1"/>
    <xf borderId="62" fillId="16" fontId="37" numFmtId="0" xfId="0" applyAlignment="1" applyBorder="1" applyFont="1">
      <alignment readingOrder="0"/>
    </xf>
    <xf borderId="33" fillId="16" fontId="37" numFmtId="0" xfId="0" applyBorder="1" applyFont="1"/>
    <xf borderId="33" fillId="16" fontId="37" numFmtId="0" xfId="0" applyAlignment="1" applyBorder="1" applyFont="1">
      <alignment readingOrder="0"/>
    </xf>
    <xf borderId="66" fillId="16" fontId="37" numFmtId="0" xfId="0" applyAlignment="1" applyBorder="1" applyFont="1">
      <alignment readingOrder="0"/>
    </xf>
    <xf borderId="63" fillId="16" fontId="37" numFmtId="0" xfId="0" applyAlignment="1" applyBorder="1" applyFont="1">
      <alignment readingOrder="0"/>
    </xf>
    <xf borderId="67" fillId="16" fontId="2" numFmtId="0" xfId="0" applyAlignment="1" applyBorder="1" applyFont="1">
      <alignment readingOrder="0" vertical="bottom"/>
    </xf>
    <xf borderId="33" fillId="11" fontId="50" numFmtId="0" xfId="0" applyAlignment="1" applyBorder="1" applyFont="1">
      <alignment horizontal="center" readingOrder="0"/>
    </xf>
    <xf borderId="68" fillId="16" fontId="2" numFmtId="0" xfId="0" applyAlignment="1" applyBorder="1" applyFont="1">
      <alignment readingOrder="0" vertical="bottom"/>
    </xf>
    <xf borderId="46" fillId="16" fontId="2" numFmtId="0" xfId="0" applyAlignment="1" applyBorder="1" applyFont="1">
      <alignment readingOrder="0" vertical="bottom"/>
    </xf>
    <xf borderId="62" fillId="17" fontId="0" numFmtId="0" xfId="0" applyAlignment="1" applyBorder="1" applyFill="1" applyFont="1">
      <alignment horizontal="center"/>
    </xf>
    <xf borderId="63" fillId="0" fontId="0" numFmtId="0" xfId="0" applyAlignment="1" applyBorder="1" applyFont="1">
      <alignment horizontal="center"/>
    </xf>
    <xf borderId="62" fillId="0" fontId="37" numFmtId="0" xfId="0" applyBorder="1" applyFont="1"/>
    <xf borderId="33" fillId="0" fontId="37" numFmtId="0" xfId="0" applyBorder="1" applyFont="1"/>
    <xf borderId="33" fillId="0" fontId="37" numFmtId="0" xfId="0" applyAlignment="1" applyBorder="1" applyFont="1">
      <alignment readingOrder="0"/>
    </xf>
    <xf borderId="66" fillId="0" fontId="37" numFmtId="0" xfId="0" applyBorder="1" applyFont="1"/>
    <xf borderId="66" fillId="0" fontId="37" numFmtId="0" xfId="0" applyAlignment="1" applyBorder="1" applyFont="1">
      <alignment readingOrder="0"/>
    </xf>
    <xf borderId="62" fillId="0" fontId="37" numFmtId="0" xfId="0" applyAlignment="1" applyBorder="1" applyFont="1">
      <alignment readingOrder="0"/>
    </xf>
    <xf borderId="63" fillId="0" fontId="37" numFmtId="0" xfId="0" applyBorder="1" applyFont="1"/>
    <xf borderId="67" fillId="0" fontId="2" numFmtId="0" xfId="0" applyAlignment="1" applyBorder="1" applyFont="1">
      <alignment vertical="bottom"/>
    </xf>
    <xf borderId="68" fillId="0" fontId="2" numFmtId="0" xfId="0" applyAlignment="1" applyBorder="1" applyFont="1">
      <alignment vertical="bottom"/>
    </xf>
    <xf borderId="68" fillId="0" fontId="2" numFmtId="0" xfId="0" applyAlignment="1" applyBorder="1" applyFont="1">
      <alignment readingOrder="0" vertical="bottom"/>
    </xf>
    <xf borderId="46" fillId="0" fontId="2" numFmtId="0" xfId="0" applyAlignment="1" applyBorder="1" applyFont="1">
      <alignment readingOrder="0" vertical="bottom"/>
    </xf>
    <xf borderId="62" fillId="18" fontId="0" numFmtId="0" xfId="0" applyAlignment="1" applyBorder="1" applyFill="1" applyFont="1">
      <alignment horizontal="center"/>
    </xf>
    <xf borderId="63" fillId="0" fontId="0" numFmtId="0" xfId="0" applyAlignment="1" applyBorder="1" applyFont="1">
      <alignment horizontal="center" readingOrder="0"/>
    </xf>
    <xf borderId="69" fillId="19" fontId="55" numFmtId="0" xfId="0" applyAlignment="1" applyBorder="1" applyFill="1" applyFont="1">
      <alignment horizontal="center" readingOrder="0"/>
    </xf>
    <xf borderId="70" fillId="19" fontId="56" numFmtId="4" xfId="0" applyAlignment="1" applyBorder="1" applyFont="1" applyNumberFormat="1">
      <alignment horizontal="center"/>
    </xf>
    <xf borderId="63" fillId="0" fontId="37" numFmtId="0" xfId="0" applyAlignment="1" applyBorder="1" applyFont="1">
      <alignment readingOrder="0"/>
    </xf>
    <xf borderId="46" fillId="0" fontId="2" numFmtId="0" xfId="0" applyAlignment="1" applyBorder="1" applyFont="1">
      <alignment vertical="bottom"/>
    </xf>
    <xf borderId="62" fillId="12" fontId="0" numFmtId="0" xfId="0" applyAlignment="1" applyBorder="1" applyFont="1">
      <alignment horizontal="center"/>
    </xf>
    <xf borderId="71" fillId="19" fontId="55" numFmtId="0" xfId="0" applyAlignment="1" applyBorder="1" applyFont="1">
      <alignment horizontal="center" readingOrder="0"/>
    </xf>
    <xf borderId="41" fillId="19" fontId="56" numFmtId="4" xfId="0" applyAlignment="1" applyBorder="1" applyFont="1" applyNumberFormat="1">
      <alignment horizontal="center" readingOrder="0"/>
    </xf>
    <xf borderId="62" fillId="20" fontId="0" numFmtId="0" xfId="0" applyAlignment="1" applyBorder="1" applyFill="1" applyFont="1">
      <alignment horizontal="center"/>
    </xf>
    <xf borderId="62" fillId="21" fontId="37" numFmtId="0" xfId="0" applyAlignment="1" applyBorder="1" applyFill="1" applyFont="1">
      <alignment horizontal="center" readingOrder="0"/>
    </xf>
    <xf borderId="63" fillId="0" fontId="37" numFmtId="0" xfId="0" applyAlignment="1" applyBorder="1" applyFont="1">
      <alignment horizontal="center" readingOrder="0"/>
    </xf>
    <xf borderId="67" fillId="0" fontId="2" numFmtId="0" xfId="0" applyAlignment="1" applyBorder="1" applyFont="1">
      <alignment readingOrder="0" vertical="bottom"/>
    </xf>
    <xf borderId="62" fillId="22" fontId="37" numFmtId="0" xfId="0" applyAlignment="1" applyBorder="1" applyFill="1" applyFont="1">
      <alignment horizontal="center" readingOrder="0"/>
    </xf>
    <xf borderId="63" fillId="23" fontId="37" numFmtId="0" xfId="0" applyAlignment="1" applyBorder="1" applyFill="1" applyFont="1">
      <alignment horizontal="center" readingOrder="0"/>
    </xf>
    <xf borderId="62" fillId="23" fontId="37" numFmtId="0" xfId="0" applyAlignment="1" applyBorder="1" applyFont="1">
      <alignment readingOrder="0"/>
    </xf>
    <xf borderId="33" fillId="23" fontId="37" numFmtId="0" xfId="0" applyBorder="1" applyFont="1"/>
    <xf borderId="66" fillId="23" fontId="37" numFmtId="0" xfId="0" applyBorder="1" applyFont="1"/>
    <xf borderId="57" fillId="8" fontId="37" numFmtId="0" xfId="0" applyBorder="1" applyFont="1"/>
    <xf borderId="66" fillId="23" fontId="37" numFmtId="0" xfId="0" applyAlignment="1" applyBorder="1" applyFont="1">
      <alignment readingOrder="0"/>
    </xf>
    <xf borderId="62" fillId="23" fontId="37" numFmtId="0" xfId="0" applyBorder="1" applyFont="1"/>
    <xf borderId="49" fillId="8" fontId="2" numFmtId="0" xfId="0" applyAlignment="1" applyBorder="1" applyFont="1">
      <alignment vertical="bottom"/>
    </xf>
    <xf borderId="63" fillId="23" fontId="37" numFmtId="0" xfId="0" applyBorder="1" applyFont="1"/>
    <xf borderId="62" fillId="16" fontId="37" numFmtId="0" xfId="0" applyBorder="1" applyFont="1"/>
    <xf borderId="33" fillId="23" fontId="37" numFmtId="0" xfId="0" applyAlignment="1" applyBorder="1" applyFont="1">
      <alignment readingOrder="0"/>
    </xf>
    <xf borderId="54" fillId="24" fontId="0" numFmtId="0" xfId="0" applyAlignment="1" applyBorder="1" applyFill="1" applyFont="1">
      <alignment horizontal="center" readingOrder="0"/>
    </xf>
    <xf borderId="16" fillId="9" fontId="0" numFmtId="0" xfId="0" applyAlignment="1" applyBorder="1" applyFont="1">
      <alignment horizontal="center" readingOrder="0"/>
    </xf>
    <xf borderId="72" fillId="0" fontId="9" numFmtId="0" xfId="0" applyBorder="1" applyFont="1"/>
    <xf borderId="54" fillId="9" fontId="37" numFmtId="0" xfId="0" applyBorder="1" applyFont="1"/>
    <xf borderId="50" fillId="9" fontId="37" numFmtId="0" xfId="0" applyBorder="1" applyFont="1"/>
    <xf borderId="55" fillId="9" fontId="37" numFmtId="0" xfId="0" applyBorder="1" applyFont="1"/>
    <xf borderId="54" fillId="9" fontId="37" numFmtId="0" xfId="0" applyAlignment="1" applyBorder="1" applyFont="1">
      <alignment readingOrder="0"/>
    </xf>
    <xf borderId="50" fillId="9" fontId="37" numFmtId="0" xfId="0" applyAlignment="1" applyBorder="1" applyFont="1">
      <alignment readingOrder="0"/>
    </xf>
    <xf borderId="55" fillId="9" fontId="37" numFmtId="0" xfId="0" applyAlignment="1" applyBorder="1" applyFont="1">
      <alignment readingOrder="0"/>
    </xf>
    <xf borderId="16" fillId="9" fontId="37" numFmtId="0" xfId="0" applyBorder="1" applyFont="1"/>
    <xf borderId="62" fillId="9" fontId="2" numFmtId="0" xfId="0" applyAlignment="1" applyBorder="1" applyFont="1">
      <alignment readingOrder="0" vertical="bottom"/>
    </xf>
    <xf borderId="33" fillId="9" fontId="2" numFmtId="0" xfId="0" applyAlignment="1" applyBorder="1" applyFont="1">
      <alignment readingOrder="0" vertical="bottom"/>
    </xf>
    <xf borderId="33" fillId="9" fontId="2" numFmtId="0" xfId="0" applyAlignment="1" applyBorder="1" applyFont="1">
      <alignment vertical="bottom"/>
    </xf>
    <xf borderId="66" fillId="9" fontId="2" numFmtId="0" xfId="0" applyAlignment="1" applyBorder="1" applyFont="1">
      <alignment vertical="bottom"/>
    </xf>
    <xf borderId="54" fillId="20" fontId="0" numFmtId="0" xfId="0" applyAlignment="1" applyBorder="1" applyFont="1">
      <alignment horizontal="center" readingOrder="0"/>
    </xf>
    <xf borderId="16" fillId="0" fontId="0" numFmtId="0" xfId="0" applyAlignment="1" applyBorder="1" applyFont="1">
      <alignment horizontal="center" readingOrder="0"/>
    </xf>
    <xf borderId="50" fillId="0" fontId="37" numFmtId="0" xfId="0" applyBorder="1" applyFont="1"/>
    <xf borderId="55" fillId="0" fontId="37" numFmtId="0" xfId="0" applyBorder="1" applyFont="1"/>
    <xf borderId="55" fillId="25" fontId="37" numFmtId="0" xfId="0" applyAlignment="1" applyBorder="1" applyFill="1" applyFont="1">
      <alignment readingOrder="0"/>
    </xf>
    <xf borderId="16" fillId="0" fontId="37" numFmtId="0" xfId="0" applyBorder="1" applyFont="1"/>
    <xf borderId="52" fillId="0" fontId="2" numFmtId="0" xfId="0" applyAlignment="1" applyBorder="1" applyFont="1">
      <alignment readingOrder="0" vertical="bottom"/>
    </xf>
    <xf borderId="56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vertical="bottom"/>
    </xf>
    <xf borderId="73" fillId="26" fontId="0" numFmtId="0" xfId="0" applyAlignment="1" applyBorder="1" applyFill="1" applyFont="1">
      <alignment horizontal="center" readingOrder="0"/>
    </xf>
    <xf borderId="74" fillId="0" fontId="0" numFmtId="0" xfId="0" applyAlignment="1" applyBorder="1" applyFont="1">
      <alignment horizontal="center"/>
    </xf>
    <xf borderId="75" fillId="0" fontId="9" numFmtId="0" xfId="0" applyBorder="1" applyFont="1"/>
    <xf borderId="76" fillId="0" fontId="9" numFmtId="0" xfId="0" applyBorder="1" applyFont="1"/>
    <xf borderId="73" fillId="0" fontId="37" numFmtId="0" xfId="0" applyAlignment="1" applyBorder="1" applyFont="1">
      <alignment readingOrder="0"/>
    </xf>
    <xf borderId="62" fillId="12" fontId="37" numFmtId="0" xfId="0" applyAlignment="1" applyBorder="1" applyFont="1">
      <alignment readingOrder="0"/>
    </xf>
    <xf borderId="77" fillId="0" fontId="37" numFmtId="0" xfId="0" applyBorder="1" applyFont="1"/>
    <xf borderId="78" fillId="0" fontId="37" numFmtId="0" xfId="0" applyBorder="1" applyFont="1"/>
    <xf borderId="77" fillId="0" fontId="37" numFmtId="0" xfId="0" applyAlignment="1" applyBorder="1" applyFont="1">
      <alignment readingOrder="0"/>
    </xf>
    <xf borderId="74" fillId="0" fontId="37" numFmtId="0" xfId="0" applyAlignment="1" applyBorder="1" applyFont="1">
      <alignment readingOrder="0"/>
    </xf>
    <xf borderId="74" fillId="0" fontId="37" numFmtId="0" xfId="0" applyBorder="1" applyFont="1"/>
    <xf borderId="79" fillId="0" fontId="2" numFmtId="0" xfId="0" applyAlignment="1" applyBorder="1" applyFont="1">
      <alignment readingOrder="0" vertical="bottom"/>
    </xf>
    <xf borderId="80" fillId="0" fontId="2" numFmtId="0" xfId="0" applyAlignment="1" applyBorder="1" applyFont="1">
      <alignment readingOrder="0" vertical="bottom"/>
    </xf>
    <xf borderId="80" fillId="0" fontId="2" numFmtId="0" xfId="0" applyAlignment="1" applyBorder="1" applyFont="1">
      <alignment vertical="bottom"/>
    </xf>
    <xf borderId="44" fillId="0" fontId="2" numFmtId="0" xfId="0" applyAlignment="1" applyBorder="1" applyFont="1">
      <alignment readingOrder="0" vertical="bottom"/>
    </xf>
    <xf borderId="66" fillId="20" fontId="37" numFmtId="0" xfId="0" applyAlignment="1" applyBorder="1" applyFont="1">
      <alignment readingOrder="0"/>
    </xf>
    <xf borderId="81" fillId="27" fontId="49" numFmtId="0" xfId="0" applyAlignment="1" applyBorder="1" applyFill="1" applyFont="1">
      <alignment horizontal="center" readingOrder="0"/>
    </xf>
    <xf borderId="82" fillId="0" fontId="37" numFmtId="0" xfId="0" applyAlignment="1" applyBorder="1" applyFont="1">
      <alignment horizontal="center" readingOrder="0"/>
    </xf>
    <xf borderId="83" fillId="0" fontId="9" numFmtId="0" xfId="0" applyBorder="1" applyFont="1"/>
    <xf borderId="84" fillId="0" fontId="37" numFmtId="0" xfId="0" applyBorder="1" applyFont="1"/>
    <xf borderId="46" fillId="20" fontId="2" numFmtId="0" xfId="0" applyAlignment="1" applyBorder="1" applyFont="1">
      <alignment readingOrder="0" vertical="bottom"/>
    </xf>
    <xf borderId="84" fillId="25" fontId="37" numFmtId="0" xfId="0" applyAlignment="1" applyBorder="1" applyFont="1">
      <alignment readingOrder="0"/>
    </xf>
    <xf borderId="85" fillId="27" fontId="49" numFmtId="0" xfId="0" applyAlignment="1" applyBorder="1" applyFont="1">
      <alignment horizontal="center" readingOrder="0"/>
    </xf>
    <xf borderId="86" fillId="0" fontId="9" numFmtId="0" xfId="0" applyBorder="1" applyFont="1"/>
    <xf borderId="87" fillId="0" fontId="37" numFmtId="0" xfId="0" applyBorder="1" applyFont="1"/>
    <xf borderId="88" fillId="27" fontId="49" numFmtId="0" xfId="0" applyAlignment="1" applyBorder="1" applyFont="1">
      <alignment horizontal="center" readingOrder="0"/>
    </xf>
    <xf borderId="16" fillId="0" fontId="37" numFmtId="0" xfId="0" applyAlignment="1" applyBorder="1" applyFont="1">
      <alignment horizontal="center" readingOrder="0"/>
    </xf>
    <xf borderId="89" fillId="0" fontId="9" numFmtId="0" xfId="0" applyBorder="1" applyFont="1"/>
    <xf borderId="90" fillId="28" fontId="37" numFmtId="0" xfId="0" applyAlignment="1" applyBorder="1" applyFill="1" applyFont="1">
      <alignment horizontal="center" readingOrder="0"/>
    </xf>
    <xf borderId="54" fillId="0" fontId="37" numFmtId="0" xfId="0" applyBorder="1" applyFont="1"/>
    <xf borderId="32" fillId="0" fontId="9" numFmtId="0" xfId="0" applyBorder="1" applyFont="1"/>
    <xf borderId="62" fillId="0" fontId="2" numFmtId="0" xfId="0" applyAlignment="1" applyBorder="1" applyFont="1">
      <alignment readingOrder="0" vertical="bottom"/>
    </xf>
    <xf borderId="91" fillId="0" fontId="9" numFmtId="0" xfId="0" applyBorder="1" applyFont="1"/>
    <xf borderId="33" fillId="0" fontId="2" numFmtId="0" xfId="0" applyAlignment="1" applyBorder="1" applyFont="1">
      <alignment readingOrder="0" vertical="bottom"/>
    </xf>
    <xf borderId="62" fillId="29" fontId="57" numFmtId="0" xfId="0" applyAlignment="1" applyBorder="1" applyFill="1" applyFont="1">
      <alignment readingOrder="0"/>
    </xf>
    <xf borderId="33" fillId="0" fontId="2" numFmtId="0" xfId="0" applyAlignment="1" applyBorder="1" applyFont="1">
      <alignment vertical="bottom"/>
    </xf>
    <xf borderId="66" fillId="0" fontId="2" numFmtId="0" xfId="0" applyAlignment="1" applyBorder="1" applyFont="1">
      <alignment vertical="bottom"/>
    </xf>
    <xf borderId="73" fillId="30" fontId="58" numFmtId="0" xfId="0" applyAlignment="1" applyBorder="1" applyFill="1" applyFont="1">
      <alignment readingOrder="0"/>
    </xf>
    <xf borderId="74" fillId="0" fontId="37" numFmtId="0" xfId="0" applyAlignment="1" applyBorder="1" applyFont="1">
      <alignment horizontal="center" readingOrder="0"/>
    </xf>
    <xf borderId="41" fillId="12" fontId="49" numFmtId="0" xfId="0" applyAlignment="1" applyBorder="1" applyFont="1">
      <alignment horizontal="center" readingOrder="0" vertical="center"/>
    </xf>
    <xf borderId="55" fillId="31" fontId="37" numFmtId="0" xfId="0" applyAlignment="1" applyBorder="1" applyFill="1" applyFont="1">
      <alignment readingOrder="0"/>
    </xf>
    <xf borderId="56" fillId="0" fontId="2" numFmtId="0" xfId="0" applyAlignment="1" applyBorder="1" applyFont="1">
      <alignment vertical="bottom"/>
    </xf>
    <xf borderId="41" fillId="12" fontId="54" numFmtId="0" xfId="0" applyAlignment="1" applyBorder="1" applyFont="1">
      <alignment horizontal="center" readingOrder="0"/>
    </xf>
    <xf borderId="73" fillId="0" fontId="37" numFmtId="0" xfId="0" applyBorder="1" applyFont="1"/>
    <xf borderId="57" fillId="14" fontId="0" numFmtId="0" xfId="0" applyBorder="1" applyFont="1"/>
    <xf borderId="57" fillId="7" fontId="37" numFmtId="0" xfId="0" applyAlignment="1" applyBorder="1" applyFont="1">
      <alignment readingOrder="0"/>
    </xf>
    <xf borderId="59" fillId="7" fontId="37" numFmtId="0" xfId="0" applyAlignment="1" applyBorder="1" applyFont="1">
      <alignment readingOrder="0"/>
    </xf>
    <xf borderId="78" fillId="31" fontId="37" numFmtId="0" xfId="0" applyAlignment="1" applyBorder="1" applyFont="1">
      <alignment readingOrder="0"/>
    </xf>
    <xf borderId="59" fillId="7" fontId="37" numFmtId="0" xfId="0" applyBorder="1" applyFont="1"/>
    <xf borderId="60" fillId="7" fontId="37" numFmtId="0" xfId="0" applyBorder="1" applyFont="1"/>
    <xf borderId="44" fillId="0" fontId="2" numFmtId="0" xfId="0" applyAlignment="1" applyBorder="1" applyFont="1">
      <alignment vertical="bottom"/>
    </xf>
    <xf borderId="60" fillId="7" fontId="37" numFmtId="0" xfId="0" applyAlignment="1" applyBorder="1" applyFont="1">
      <alignment readingOrder="0"/>
    </xf>
    <xf borderId="58" fillId="7" fontId="37" numFmtId="0" xfId="0" applyBorder="1" applyFont="1"/>
    <xf borderId="57" fillId="7" fontId="2" numFmtId="0" xfId="0" applyAlignment="1" applyBorder="1" applyFont="1">
      <alignment readingOrder="0" vertical="bottom"/>
    </xf>
    <xf borderId="84" fillId="31" fontId="37" numFmtId="0" xfId="0" applyAlignment="1" applyBorder="1" applyFont="1">
      <alignment readingOrder="0"/>
    </xf>
    <xf borderId="61" fillId="32" fontId="2" numFmtId="0" xfId="0" applyAlignment="1" applyBorder="1" applyFill="1" applyFont="1">
      <alignment readingOrder="0" vertical="bottom"/>
    </xf>
    <xf borderId="84" fillId="12" fontId="37" numFmtId="0" xfId="0" applyAlignment="1" applyBorder="1" applyFont="1">
      <alignment readingOrder="0"/>
    </xf>
    <xf borderId="61" fillId="7" fontId="2" numFmtId="0" xfId="0" applyAlignment="1" applyBorder="1" applyFont="1">
      <alignment readingOrder="0" vertical="bottom"/>
    </xf>
    <xf borderId="61" fillId="7" fontId="2" numFmtId="0" xfId="0" applyAlignment="1" applyBorder="1" applyFont="1">
      <alignment vertical="bottom"/>
    </xf>
    <xf borderId="84" fillId="23" fontId="37" numFmtId="0" xfId="0" applyAlignment="1" applyBorder="1" applyFont="1">
      <alignment readingOrder="0"/>
    </xf>
    <xf borderId="61" fillId="14" fontId="2" numFmtId="0" xfId="0" applyAlignment="1" applyBorder="1" applyFont="1">
      <alignment readingOrder="0" vertical="bottom"/>
    </xf>
    <xf borderId="62" fillId="15" fontId="0" numFmtId="0" xfId="0" applyAlignment="1" applyBorder="1" applyFont="1">
      <alignment readingOrder="0"/>
    </xf>
    <xf borderId="62" fillId="33" fontId="37" numFmtId="0" xfId="0" applyAlignment="1" applyBorder="1" applyFill="1" applyFont="1">
      <alignment readingOrder="0"/>
    </xf>
    <xf borderId="33" fillId="33" fontId="37" numFmtId="0" xfId="0" applyAlignment="1" applyBorder="1" applyFont="1">
      <alignment readingOrder="0"/>
    </xf>
    <xf borderId="33" fillId="20" fontId="37" numFmtId="0" xfId="0" applyAlignment="1" applyBorder="1" applyFont="1">
      <alignment readingOrder="0"/>
    </xf>
    <xf borderId="66" fillId="33" fontId="37" numFmtId="0" xfId="0" applyAlignment="1" applyBorder="1" applyFont="1">
      <alignment readingOrder="0"/>
    </xf>
    <xf borderId="63" fillId="33" fontId="37" numFmtId="0" xfId="0" applyAlignment="1" applyBorder="1" applyFont="1">
      <alignment readingOrder="0"/>
    </xf>
    <xf borderId="67" fillId="33" fontId="2" numFmtId="0" xfId="0" applyAlignment="1" applyBorder="1" applyFont="1">
      <alignment readingOrder="0" vertical="bottom"/>
    </xf>
    <xf borderId="68" fillId="33" fontId="2" numFmtId="0" xfId="0" applyAlignment="1" applyBorder="1" applyFont="1">
      <alignment readingOrder="0" vertical="bottom"/>
    </xf>
    <xf borderId="33" fillId="33" fontId="2" numFmtId="0" xfId="0" applyAlignment="1" applyBorder="1" applyFont="1">
      <alignment vertical="bottom"/>
    </xf>
    <xf borderId="66" fillId="33" fontId="2" numFmtId="0" xfId="0" applyAlignment="1" applyBorder="1" applyFont="1">
      <alignment vertical="bottom"/>
    </xf>
    <xf borderId="62" fillId="17" fontId="0" numFmtId="0" xfId="0" applyBorder="1" applyFont="1"/>
    <xf borderId="62" fillId="32" fontId="37" numFmtId="0" xfId="0" applyAlignment="1" applyBorder="1" applyFont="1">
      <alignment readingOrder="0"/>
    </xf>
    <xf borderId="33" fillId="32" fontId="37" numFmtId="0" xfId="0" applyBorder="1" applyFont="1"/>
    <xf borderId="33" fillId="32" fontId="37" numFmtId="0" xfId="0" applyAlignment="1" applyBorder="1" applyFont="1">
      <alignment readingOrder="0"/>
    </xf>
    <xf borderId="66" fillId="32" fontId="37" numFmtId="0" xfId="0" applyAlignment="1" applyBorder="1" applyFont="1">
      <alignment readingOrder="0"/>
    </xf>
    <xf borderId="62" fillId="32" fontId="37" numFmtId="0" xfId="0" applyBorder="1" applyFont="1"/>
    <xf borderId="66" fillId="32" fontId="37" numFmtId="0" xfId="0" applyBorder="1" applyFont="1"/>
    <xf borderId="63" fillId="32" fontId="37" numFmtId="0" xfId="0" applyBorder="1" applyFont="1"/>
    <xf borderId="67" fillId="32" fontId="2" numFmtId="0" xfId="0" applyAlignment="1" applyBorder="1" applyFont="1">
      <alignment readingOrder="0" vertical="bottom"/>
    </xf>
    <xf borderId="68" fillId="32" fontId="2" numFmtId="0" xfId="0" applyAlignment="1" applyBorder="1" applyFont="1">
      <alignment vertical="bottom"/>
    </xf>
    <xf borderId="68" fillId="32" fontId="2" numFmtId="0" xfId="0" applyAlignment="1" applyBorder="1" applyFont="1">
      <alignment readingOrder="0" vertical="bottom"/>
    </xf>
    <xf borderId="33" fillId="6" fontId="2" numFmtId="0" xfId="0" applyAlignment="1" applyBorder="1" applyFont="1">
      <alignment vertical="bottom"/>
    </xf>
    <xf borderId="66" fillId="6" fontId="2" numFmtId="0" xfId="0" applyAlignment="1" applyBorder="1" applyFont="1">
      <alignment vertical="bottom"/>
    </xf>
    <xf borderId="62" fillId="18" fontId="0" numFmtId="0" xfId="0" applyAlignment="1" applyBorder="1" applyFont="1">
      <alignment readingOrder="0"/>
    </xf>
    <xf borderId="0" fillId="6" fontId="59" numFmtId="0" xfId="0" applyAlignment="1" applyFont="1">
      <alignment readingOrder="0"/>
    </xf>
    <xf borderId="63" fillId="32" fontId="37" numFmtId="0" xfId="0" applyAlignment="1" applyBorder="1" applyFont="1">
      <alignment readingOrder="0"/>
    </xf>
    <xf borderId="67" fillId="32" fontId="2" numFmtId="0" xfId="0" applyAlignment="1" applyBorder="1" applyFont="1">
      <alignment vertical="bottom"/>
    </xf>
    <xf borderId="66" fillId="6" fontId="2" numFmtId="0" xfId="0" applyAlignment="1" applyBorder="1" applyFont="1">
      <alignment readingOrder="0" vertical="bottom"/>
    </xf>
    <xf borderId="62" fillId="12" fontId="0" numFmtId="0" xfId="0" applyAlignment="1" applyBorder="1" applyFont="1">
      <alignment readingOrder="0"/>
    </xf>
    <xf borderId="49" fillId="14" fontId="2" numFmtId="0" xfId="0" applyAlignment="1" applyBorder="1" applyFont="1">
      <alignment vertical="bottom"/>
    </xf>
    <xf borderId="62" fillId="20" fontId="0" numFmtId="0" xfId="0" applyBorder="1" applyFont="1"/>
    <xf borderId="62" fillId="21" fontId="37" numFmtId="0" xfId="0" applyAlignment="1" applyBorder="1" applyFont="1">
      <alignment readingOrder="0"/>
    </xf>
    <xf borderId="46" fillId="32" fontId="2" numFmtId="0" xfId="0" applyAlignment="1" applyBorder="1" applyFont="1">
      <alignment readingOrder="0" vertical="bottom"/>
    </xf>
    <xf borderId="62" fillId="22" fontId="37" numFmtId="0" xfId="0" applyAlignment="1" applyBorder="1" applyFont="1">
      <alignment readingOrder="0"/>
    </xf>
    <xf borderId="62" fillId="18" fontId="0" numFmtId="0" xfId="0" applyBorder="1" applyFont="1"/>
    <xf borderId="63" fillId="23" fontId="37" numFmtId="0" xfId="0" applyAlignment="1" applyBorder="1" applyFont="1">
      <alignment readingOrder="0"/>
    </xf>
    <xf borderId="54" fillId="23" fontId="37" numFmtId="0" xfId="0" applyAlignment="1" applyBorder="1" applyFont="1">
      <alignment readingOrder="0"/>
    </xf>
    <xf borderId="50" fillId="23" fontId="37" numFmtId="0" xfId="0" applyAlignment="1" applyBorder="1" applyFont="1">
      <alignment readingOrder="0"/>
    </xf>
    <xf borderId="50" fillId="23" fontId="37" numFmtId="0" xfId="0" applyBorder="1" applyFont="1"/>
    <xf borderId="62" fillId="12" fontId="0" numFmtId="0" xfId="0" applyBorder="1" applyFont="1"/>
    <xf borderId="66" fillId="22" fontId="2" numFmtId="0" xfId="0" applyAlignment="1" applyBorder="1" applyFont="1">
      <alignment readingOrder="0" vertical="bottom"/>
    </xf>
    <xf borderId="54" fillId="24" fontId="0" numFmtId="0" xfId="0" applyAlignment="1" applyBorder="1" applyFont="1">
      <alignment readingOrder="0"/>
    </xf>
    <xf borderId="54" fillId="34" fontId="37" numFmtId="0" xfId="0" applyAlignment="1" applyBorder="1" applyFill="1" applyFont="1">
      <alignment readingOrder="0"/>
    </xf>
    <xf borderId="50" fillId="34" fontId="37" numFmtId="0" xfId="0" applyAlignment="1" applyBorder="1" applyFont="1">
      <alignment readingOrder="0"/>
    </xf>
    <xf borderId="50" fillId="34" fontId="37" numFmtId="0" xfId="0" applyBorder="1" applyFont="1"/>
    <xf borderId="55" fillId="34" fontId="37" numFmtId="0" xfId="0" applyBorder="1" applyFont="1"/>
    <xf borderId="33" fillId="35" fontId="37" numFmtId="0" xfId="0" applyBorder="1" applyFill="1" applyFont="1"/>
    <xf borderId="55" fillId="34" fontId="37" numFmtId="0" xfId="0" applyAlignment="1" applyBorder="1" applyFont="1">
      <alignment readingOrder="0"/>
    </xf>
    <xf borderId="16" fillId="34" fontId="37" numFmtId="0" xfId="0" applyBorder="1" applyFont="1"/>
    <xf borderId="62" fillId="34" fontId="2" numFmtId="0" xfId="0" applyAlignment="1" applyBorder="1" applyFont="1">
      <alignment readingOrder="0" vertical="bottom"/>
    </xf>
    <xf borderId="33" fillId="34" fontId="2" numFmtId="0" xfId="0" applyAlignment="1" applyBorder="1" applyFont="1">
      <alignment readingOrder="0" vertical="bottom"/>
    </xf>
    <xf borderId="54" fillId="20" fontId="0" numFmtId="0" xfId="0" applyAlignment="1" applyBorder="1" applyFont="1">
      <alignment readingOrder="0"/>
    </xf>
    <xf borderId="54" fillId="32" fontId="37" numFmtId="0" xfId="0" applyBorder="1" applyFont="1"/>
    <xf borderId="50" fillId="32" fontId="37" numFmtId="0" xfId="0" applyAlignment="1" applyBorder="1" applyFont="1">
      <alignment readingOrder="0"/>
    </xf>
    <xf borderId="55" fillId="32" fontId="37" numFmtId="0" xfId="0" applyBorder="1" applyFont="1"/>
    <xf borderId="54" fillId="32" fontId="37" numFmtId="0" xfId="0" applyAlignment="1" applyBorder="1" applyFont="1">
      <alignment readingOrder="0"/>
    </xf>
    <xf borderId="55" fillId="32" fontId="37" numFmtId="0" xfId="0" applyAlignment="1" applyBorder="1" applyFont="1">
      <alignment readingOrder="0"/>
    </xf>
    <xf borderId="16" fillId="32" fontId="37" numFmtId="0" xfId="0" applyBorder="1" applyFont="1"/>
    <xf borderId="62" fillId="32" fontId="2" numFmtId="0" xfId="0" applyAlignment="1" applyBorder="1" applyFont="1">
      <alignment readingOrder="0" vertical="bottom"/>
    </xf>
    <xf borderId="33" fillId="32" fontId="2" numFmtId="0" xfId="0" applyAlignment="1" applyBorder="1" applyFont="1">
      <alignment readingOrder="0" vertical="bottom"/>
    </xf>
    <xf borderId="66" fillId="36" fontId="2" numFmtId="0" xfId="0" applyAlignment="1" applyBorder="1" applyFill="1" applyFont="1">
      <alignment readingOrder="0" vertical="bottom"/>
    </xf>
    <xf borderId="73" fillId="26" fontId="0" numFmtId="0" xfId="0" applyBorder="1" applyFont="1"/>
    <xf borderId="73" fillId="14" fontId="2" numFmtId="0" xfId="0" applyAlignment="1" applyBorder="1" applyFont="1">
      <alignment readingOrder="0" vertical="bottom"/>
    </xf>
    <xf borderId="77" fillId="20" fontId="2" numFmtId="0" xfId="0" applyAlignment="1" applyBorder="1" applyFont="1">
      <alignment readingOrder="0" vertical="bottom"/>
    </xf>
    <xf borderId="54" fillId="37" fontId="37" numFmtId="0" xfId="0" applyBorder="1" applyFill="1" applyFont="1"/>
    <xf borderId="77" fillId="32" fontId="2" numFmtId="0" xfId="0" applyAlignment="1" applyBorder="1" applyFont="1">
      <alignment readingOrder="0" vertical="bottom"/>
    </xf>
    <xf borderId="50" fillId="37" fontId="37" numFmtId="0" xfId="0" applyAlignment="1" applyBorder="1" applyFont="1">
      <alignment readingOrder="0"/>
    </xf>
    <xf borderId="77" fillId="6" fontId="2" numFmtId="0" xfId="0" applyAlignment="1" applyBorder="1" applyFont="1">
      <alignment readingOrder="0" vertical="bottom"/>
    </xf>
    <xf borderId="50" fillId="37" fontId="37" numFmtId="0" xfId="0" applyBorder="1" applyFont="1"/>
    <xf borderId="78" fillId="6" fontId="2" numFmtId="0" xfId="0" applyAlignment="1" applyBorder="1" applyFont="1">
      <alignment readingOrder="0" vertical="bottom"/>
    </xf>
    <xf borderId="55" fillId="37" fontId="37" numFmtId="0" xfId="0" applyBorder="1" applyFont="1"/>
    <xf borderId="81" fillId="27" fontId="49" numFmtId="0" xfId="0" applyAlignment="1" applyBorder="1" applyFont="1">
      <alignment readingOrder="0"/>
    </xf>
    <xf borderId="54" fillId="37" fontId="37" numFmtId="0" xfId="0" applyAlignment="1" applyBorder="1" applyFont="1">
      <alignment readingOrder="0"/>
    </xf>
    <xf borderId="57" fillId="32" fontId="37" numFmtId="0" xfId="0" applyBorder="1" applyFont="1"/>
    <xf borderId="59" fillId="32" fontId="37" numFmtId="0" xfId="0" applyBorder="1" applyFont="1"/>
    <xf borderId="55" fillId="37" fontId="37" numFmtId="0" xfId="0" applyAlignment="1" applyBorder="1" applyFont="1">
      <alignment readingOrder="0"/>
    </xf>
    <xf borderId="59" fillId="32" fontId="37" numFmtId="0" xfId="0" applyAlignment="1" applyBorder="1" applyFont="1">
      <alignment readingOrder="0"/>
    </xf>
    <xf borderId="16" fillId="37" fontId="37" numFmtId="0" xfId="0" applyBorder="1" applyFont="1"/>
    <xf borderId="62" fillId="37" fontId="2" numFmtId="0" xfId="0" applyAlignment="1" applyBorder="1" applyFont="1">
      <alignment readingOrder="0" vertical="bottom"/>
    </xf>
    <xf borderId="84" fillId="14" fontId="37" numFmtId="0" xfId="0" applyAlignment="1" applyBorder="1" applyFont="1">
      <alignment readingOrder="0"/>
    </xf>
    <xf borderId="33" fillId="37" fontId="2" numFmtId="0" xfId="0" applyAlignment="1" applyBorder="1" applyFont="1">
      <alignment readingOrder="0" vertical="bottom"/>
    </xf>
    <xf borderId="84" fillId="32" fontId="37" numFmtId="0" xfId="0" applyAlignment="1" applyBorder="1" applyFont="1">
      <alignment readingOrder="0"/>
    </xf>
    <xf borderId="84" fillId="32" fontId="37" numFmtId="0" xfId="0" applyBorder="1" applyFont="1"/>
    <xf borderId="66" fillId="14" fontId="37" numFmtId="0" xfId="0" applyAlignment="1" applyBorder="1" applyFont="1">
      <alignment readingOrder="0"/>
    </xf>
    <xf borderId="85" fillId="27" fontId="49" numFmtId="0" xfId="0" applyAlignment="1" applyBorder="1" applyFont="1">
      <alignment readingOrder="0"/>
    </xf>
    <xf borderId="50" fillId="32" fontId="37" numFmtId="0" xfId="0" applyBorder="1" applyFont="1"/>
    <xf borderId="66" fillId="22" fontId="37" numFmtId="0" xfId="0" applyAlignment="1" applyBorder="1" applyFont="1">
      <alignment readingOrder="0"/>
    </xf>
    <xf borderId="88" fillId="27" fontId="49" numFmtId="0" xfId="0" applyAlignment="1" applyBorder="1" applyFont="1">
      <alignment readingOrder="0"/>
    </xf>
    <xf borderId="73" fillId="32" fontId="37" numFmtId="0" xfId="0" applyBorder="1" applyFont="1"/>
    <xf borderId="77" fillId="32" fontId="37" numFmtId="0" xfId="0" applyBorder="1" applyFont="1"/>
    <xf borderId="73" fillId="32" fontId="2" numFmtId="0" xfId="0" applyAlignment="1" applyBorder="1" applyFont="1">
      <alignment readingOrder="0" vertical="bottom"/>
    </xf>
    <xf borderId="59" fillId="38" fontId="37" numFmtId="0" xfId="0" applyAlignment="1" applyBorder="1" applyFill="1" applyFont="1">
      <alignment readingOrder="0"/>
    </xf>
    <xf borderId="78" fillId="36" fontId="37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bottom"/>
    </xf>
    <xf borderId="13" fillId="13" fontId="2" numFmtId="0" xfId="0" applyAlignment="1" applyBorder="1" applyFont="1">
      <alignment horizontal="center" readingOrder="0" vertical="bottom"/>
    </xf>
    <xf borderId="59" fillId="35" fontId="37" numFmtId="0" xfId="0" applyAlignment="1" applyBorder="1" applyFont="1">
      <alignment readingOrder="0"/>
    </xf>
    <xf borderId="92" fillId="14" fontId="37" numFmtId="0" xfId="0" applyAlignment="1" applyBorder="1" applyFont="1">
      <alignment readingOrder="0"/>
    </xf>
    <xf borderId="93" fillId="13" fontId="60" numFmtId="0" xfId="0" applyAlignment="1" applyBorder="1" applyFont="1">
      <alignment horizontal="center" readingOrder="0" vertical="center"/>
    </xf>
    <xf borderId="13" fillId="13" fontId="54" numFmtId="0" xfId="0" applyAlignment="1" applyBorder="1" applyFont="1">
      <alignment horizontal="center" readingOrder="0" vertical="bottom"/>
    </xf>
    <xf borderId="94" fillId="0" fontId="9" numFmtId="0" xfId="0" applyBorder="1" applyFont="1"/>
    <xf borderId="80" fillId="0" fontId="2" numFmtId="0" xfId="0" applyAlignment="1" applyBorder="1" applyFont="1">
      <alignment horizontal="right" vertical="bottom"/>
    </xf>
    <xf borderId="44" fillId="0" fontId="2" numFmtId="0" xfId="0" applyAlignment="1" applyBorder="1" applyFont="1">
      <alignment horizontal="right" vertical="bottom"/>
    </xf>
    <xf borderId="0" fillId="11" fontId="54" numFmtId="0" xfId="0" applyAlignment="1" applyFont="1">
      <alignment readingOrder="0" vertical="bottom"/>
    </xf>
    <xf borderId="56" fillId="39" fontId="2" numFmtId="0" xfId="0" applyAlignment="1" applyBorder="1" applyFill="1" applyFont="1">
      <alignment horizontal="right" readingOrder="0" vertical="bottom"/>
    </xf>
    <xf borderId="56" fillId="39" fontId="2" numFmtId="0" xfId="0" applyAlignment="1" applyBorder="1" applyFont="1">
      <alignment readingOrder="0" vertical="bottom"/>
    </xf>
    <xf borderId="7" fillId="39" fontId="2" numFmtId="0" xfId="0" applyAlignment="1" applyBorder="1" applyFont="1">
      <alignment readingOrder="0" vertical="bottom"/>
    </xf>
    <xf borderId="78" fillId="32" fontId="37" numFmtId="0" xfId="0" applyBorder="1" applyFont="1"/>
    <xf borderId="7" fillId="39" fontId="2" numFmtId="0" xfId="0" applyAlignment="1" applyBorder="1" applyFont="1">
      <alignment horizontal="right" readingOrder="0" vertical="bottom"/>
    </xf>
    <xf borderId="0" fillId="39" fontId="2" numFmtId="0" xfId="0" applyAlignment="1" applyFont="1">
      <alignment readingOrder="0" vertical="bottom"/>
    </xf>
    <xf borderId="95" fillId="14" fontId="2" numFmtId="0" xfId="0" applyAlignment="1" applyBorder="1" applyFont="1">
      <alignment readingOrder="0" vertical="bottom"/>
    </xf>
    <xf borderId="68" fillId="7" fontId="2" numFmtId="0" xfId="0" applyAlignment="1" applyBorder="1" applyFont="1">
      <alignment horizontal="right" readingOrder="0" vertical="bottom"/>
    </xf>
    <xf borderId="68" fillId="7" fontId="2" numFmtId="0" xfId="0" applyAlignment="1" applyBorder="1" applyFont="1">
      <alignment horizontal="right" vertical="bottom"/>
    </xf>
    <xf borderId="68" fillId="7" fontId="2" numFmtId="0" xfId="0" applyAlignment="1" applyBorder="1" applyFont="1">
      <alignment vertical="bottom"/>
    </xf>
    <xf borderId="46" fillId="7" fontId="2" numFmtId="0" xfId="0" applyAlignment="1" applyBorder="1" applyFont="1">
      <alignment vertical="bottom"/>
    </xf>
    <xf borderId="0" fillId="7" fontId="61" numFmtId="0" xfId="0" applyFont="1"/>
    <xf borderId="95" fillId="14" fontId="2" numFmtId="0" xfId="0" applyAlignment="1" applyBorder="1" applyFont="1">
      <alignment vertical="bottom"/>
    </xf>
    <xf borderId="68" fillId="7" fontId="2" numFmtId="0" xfId="0" applyAlignment="1" applyBorder="1" applyFont="1">
      <alignment readingOrder="0" vertical="bottom"/>
    </xf>
    <xf borderId="46" fillId="7" fontId="2" numFmtId="0" xfId="0" applyAlignment="1" applyBorder="1" applyFont="1">
      <alignment horizontal="right" vertical="bottom"/>
    </xf>
    <xf borderId="1" fillId="7" fontId="2" numFmtId="0" xfId="0" applyAlignment="1" applyBorder="1" applyFont="1">
      <alignment vertical="bottom"/>
    </xf>
    <xf borderId="57" fillId="7" fontId="2" numFmtId="0" xfId="0" applyAlignment="1" applyBorder="1" applyFont="1">
      <alignment horizontal="right" readingOrder="0" vertical="bottom"/>
    </xf>
    <xf borderId="59" fillId="7" fontId="2" numFmtId="0" xfId="0" applyAlignment="1" applyBorder="1" applyFont="1">
      <alignment horizontal="right" vertical="bottom"/>
    </xf>
    <xf borderId="59" fillId="7" fontId="2" numFmtId="0" xfId="0" applyAlignment="1" applyBorder="1" applyFont="1">
      <alignment vertical="bottom"/>
    </xf>
    <xf borderId="60" fillId="7" fontId="2" numFmtId="0" xfId="0" applyAlignment="1" applyBorder="1" applyFont="1">
      <alignment vertical="bottom"/>
    </xf>
    <xf borderId="95" fillId="15" fontId="2" numFmtId="0" xfId="0" applyAlignment="1" applyBorder="1" applyFont="1">
      <alignment vertical="bottom"/>
    </xf>
    <xf borderId="68" fillId="33" fontId="2" numFmtId="0" xfId="0" applyAlignment="1" applyBorder="1" applyFont="1">
      <alignment horizontal="right" vertical="bottom"/>
    </xf>
    <xf borderId="68" fillId="33" fontId="2" numFmtId="0" xfId="0" applyAlignment="1" applyBorder="1" applyFont="1">
      <alignment horizontal="right" readingOrder="0" vertical="bottom"/>
    </xf>
    <xf borderId="46" fillId="33" fontId="2" numFmtId="0" xfId="0" applyAlignment="1" applyBorder="1" applyFont="1">
      <alignment horizontal="right" vertical="bottom"/>
    </xf>
    <xf borderId="46" fillId="33" fontId="2" numFmtId="0" xfId="0" applyAlignment="1" applyBorder="1" applyFont="1">
      <alignment vertical="bottom"/>
    </xf>
    <xf borderId="46" fillId="33" fontId="2" numFmtId="0" xfId="0" applyAlignment="1" applyBorder="1" applyFont="1">
      <alignment horizontal="right" readingOrder="0" vertical="bottom"/>
    </xf>
    <xf borderId="68" fillId="33" fontId="2" numFmtId="0" xfId="0" applyAlignment="1" applyBorder="1" applyFont="1">
      <alignment vertical="bottom"/>
    </xf>
    <xf borderId="1" fillId="33" fontId="2" numFmtId="0" xfId="0" applyAlignment="1" applyBorder="1" applyFont="1">
      <alignment horizontal="right" readingOrder="0" vertical="bottom"/>
    </xf>
    <xf borderId="62" fillId="33" fontId="2" numFmtId="0" xfId="0" applyAlignment="1" applyBorder="1" applyFont="1">
      <alignment horizontal="right" vertical="bottom"/>
    </xf>
    <xf borderId="33" fillId="33" fontId="2" numFmtId="0" xfId="0" applyAlignment="1" applyBorder="1" applyFont="1">
      <alignment horizontal="right" vertical="bottom"/>
    </xf>
    <xf borderId="0" fillId="40" fontId="62" numFmtId="0" xfId="0" applyAlignment="1" applyFill="1" applyFont="1">
      <alignment horizontal="center" readingOrder="0"/>
    </xf>
    <xf borderId="0" fillId="40" fontId="63" numFmtId="0" xfId="0" applyFont="1"/>
    <xf borderId="66" fillId="33" fontId="2" numFmtId="0" xfId="0" applyAlignment="1" applyBorder="1" applyFont="1">
      <alignment horizontal="right" vertical="bottom"/>
    </xf>
    <xf borderId="95" fillId="17" fontId="2" numFmtId="0" xfId="0" applyAlignment="1" applyBorder="1" applyFont="1">
      <alignment vertical="bottom"/>
    </xf>
    <xf borderId="68" fillId="6" fontId="2" numFmtId="0" xfId="0" applyAlignment="1" applyBorder="1" applyFont="1">
      <alignment readingOrder="0" vertical="bottom"/>
    </xf>
    <xf borderId="68" fillId="6" fontId="2" numFmtId="0" xfId="0" applyAlignment="1" applyBorder="1" applyFont="1">
      <alignment vertical="bottom"/>
    </xf>
    <xf borderId="68" fillId="6" fontId="2" numFmtId="0" xfId="0" applyAlignment="1" applyBorder="1" applyFont="1">
      <alignment horizontal="right" vertical="bottom"/>
    </xf>
    <xf borderId="46" fillId="6" fontId="2" numFmtId="0" xfId="0" applyAlignment="1" applyBorder="1" applyFont="1">
      <alignment horizontal="right" vertical="bottom"/>
    </xf>
    <xf borderId="0" fillId="6" fontId="64" numFmtId="0" xfId="0" applyAlignment="1" applyFont="1">
      <alignment horizontal="center" readingOrder="0"/>
    </xf>
    <xf borderId="46" fillId="6" fontId="2" numFmtId="0" xfId="0" applyAlignment="1" applyBorder="1" applyFont="1">
      <alignment vertical="bottom"/>
    </xf>
    <xf borderId="0" fillId="6" fontId="63" numFmtId="0" xfId="0" applyFont="1"/>
    <xf borderId="57" fillId="6" fontId="63" numFmtId="0" xfId="0" applyAlignment="1" applyBorder="1" applyFont="1">
      <alignment readingOrder="0"/>
    </xf>
    <xf borderId="1" fillId="6" fontId="2" numFmtId="0" xfId="0" applyAlignment="1" applyBorder="1" applyFont="1">
      <alignment vertical="bottom"/>
    </xf>
    <xf borderId="60" fillId="6" fontId="63" numFmtId="0" xfId="0" applyAlignment="1" applyBorder="1" applyFont="1">
      <alignment readingOrder="0"/>
    </xf>
    <xf borderId="62" fillId="6" fontId="2" numFmtId="0" xfId="0" applyAlignment="1" applyBorder="1" applyFont="1">
      <alignment vertical="bottom"/>
    </xf>
    <xf borderId="33" fillId="6" fontId="2" numFmtId="0" xfId="0" applyAlignment="1" applyBorder="1" applyFont="1">
      <alignment horizontal="right" vertical="bottom"/>
    </xf>
    <xf borderId="33" fillId="0" fontId="2" numFmtId="0" xfId="0" applyAlignment="1" applyBorder="1" applyFont="1">
      <alignment horizontal="right" vertical="bottom"/>
    </xf>
    <xf borderId="66" fillId="0" fontId="2" numFmtId="0" xfId="0" applyAlignment="1" applyBorder="1" applyFont="1">
      <alignment horizontal="right" vertical="bottom"/>
    </xf>
    <xf borderId="0" fillId="5" fontId="65" numFmtId="0" xfId="0" applyAlignment="1" applyFont="1">
      <alignment horizontal="center" readingOrder="0"/>
    </xf>
    <xf borderId="95" fillId="18" fontId="2" numFmtId="0" xfId="0" applyAlignment="1" applyBorder="1" applyFont="1">
      <alignment readingOrder="0" vertical="bottom"/>
    </xf>
    <xf borderId="0" fillId="5" fontId="64" numFmtId="0" xfId="0" applyAlignment="1" applyFont="1">
      <alignment horizontal="center" readingOrder="0"/>
    </xf>
    <xf borderId="0" fillId="5" fontId="63" numFmtId="0" xfId="0" applyAlignment="1" applyFont="1">
      <alignment horizontal="right" readingOrder="0"/>
    </xf>
    <xf borderId="0" fillId="5" fontId="63" numFmtId="0" xfId="0" applyAlignment="1" applyFont="1">
      <alignment horizontal="center" readingOrder="0"/>
    </xf>
    <xf borderId="0" fillId="5" fontId="63" numFmtId="0" xfId="0" applyFont="1"/>
    <xf borderId="62" fillId="5" fontId="63" numFmtId="0" xfId="0" applyAlignment="1" applyBorder="1" applyFont="1">
      <alignment readingOrder="0"/>
    </xf>
    <xf borderId="66" fillId="5" fontId="63" numFmtId="0" xfId="0" applyAlignment="1" applyBorder="1" applyFont="1">
      <alignment horizontal="left" readingOrder="0"/>
    </xf>
    <xf borderId="68" fillId="6" fontId="59" numFmtId="0" xfId="0" applyAlignment="1" applyBorder="1" applyFont="1">
      <alignment horizontal="right" vertical="bottom"/>
    </xf>
    <xf borderId="68" fillId="6" fontId="2" numFmtId="0" xfId="0" applyAlignment="1" applyBorder="1" applyFont="1">
      <alignment horizontal="right" readingOrder="0" vertical="bottom"/>
    </xf>
    <xf borderId="68" fillId="32" fontId="2" numFmtId="0" xfId="0" applyAlignment="1" applyBorder="1" applyFont="1">
      <alignment horizontal="right" vertical="bottom"/>
    </xf>
    <xf borderId="0" fillId="6" fontId="65" numFmtId="0" xfId="0" applyAlignment="1" applyFont="1">
      <alignment horizontal="center" readingOrder="0"/>
    </xf>
    <xf borderId="62" fillId="6" fontId="2" numFmtId="0" xfId="0" applyAlignment="1" applyBorder="1" applyFont="1">
      <alignment readingOrder="0" vertical="bottom"/>
    </xf>
    <xf borderId="0" fillId="6" fontId="63" numFmtId="0" xfId="0" applyAlignment="1" applyFont="1">
      <alignment horizontal="right" readingOrder="0"/>
    </xf>
    <xf borderId="0" fillId="6" fontId="63" numFmtId="0" xfId="0" applyAlignment="1" applyFont="1">
      <alignment horizontal="center" readingOrder="0"/>
    </xf>
    <xf borderId="95" fillId="12" fontId="2" numFmtId="0" xfId="0" applyAlignment="1" applyBorder="1" applyFont="1">
      <alignment vertical="bottom"/>
    </xf>
    <xf borderId="62" fillId="6" fontId="63" numFmtId="0" xfId="0" applyAlignment="1" applyBorder="1" applyFont="1">
      <alignment readingOrder="0"/>
    </xf>
    <xf borderId="66" fillId="6" fontId="63" numFmtId="0" xfId="0" applyAlignment="1" applyBorder="1" applyFont="1">
      <alignment horizontal="left" readingOrder="0"/>
    </xf>
    <xf borderId="46" fillId="6" fontId="2" numFmtId="0" xfId="0" applyAlignment="1" applyBorder="1" applyFont="1">
      <alignment readingOrder="0" vertical="bottom"/>
    </xf>
    <xf borderId="33" fillId="41" fontId="2" numFmtId="0" xfId="0" applyAlignment="1" applyBorder="1" applyFill="1" applyFont="1">
      <alignment readingOrder="0" vertical="bottom"/>
    </xf>
    <xf borderId="95" fillId="20" fontId="2" numFmtId="0" xfId="0" applyAlignment="1" applyBorder="1" applyFont="1">
      <alignment vertical="bottom"/>
    </xf>
    <xf borderId="73" fillId="5" fontId="63" numFmtId="0" xfId="0" applyAlignment="1" applyBorder="1" applyFont="1">
      <alignment readingOrder="0"/>
    </xf>
    <xf borderId="78" fillId="5" fontId="63" numFmtId="0" xfId="0" applyAlignment="1" applyBorder="1" applyFont="1">
      <alignment horizontal="left" readingOrder="0"/>
    </xf>
    <xf borderId="62" fillId="6" fontId="2" numFmtId="0" xfId="0" applyAlignment="1" applyBorder="1" applyFont="1">
      <alignment horizontal="right" vertical="bottom"/>
    </xf>
    <xf borderId="95" fillId="21" fontId="2" numFmtId="0" xfId="0" applyAlignment="1" applyBorder="1" applyFont="1">
      <alignment vertical="bottom"/>
    </xf>
    <xf borderId="50" fillId="6" fontId="2" numFmtId="0" xfId="0" applyAlignment="1" applyBorder="1" applyFont="1">
      <alignment vertical="bottom"/>
    </xf>
    <xf borderId="95" fillId="22" fontId="2" numFmtId="0" xfId="0" applyAlignment="1" applyBorder="1" applyFont="1">
      <alignment readingOrder="0" vertical="bottom"/>
    </xf>
    <xf borderId="68" fillId="23" fontId="2" numFmtId="0" xfId="0" applyAlignment="1" applyBorder="1" applyFont="1">
      <alignment vertical="bottom"/>
    </xf>
    <xf borderId="68" fillId="23" fontId="2" numFmtId="0" xfId="0" applyAlignment="1" applyBorder="1" applyFont="1">
      <alignment horizontal="right" vertical="bottom"/>
    </xf>
    <xf borderId="46" fillId="23" fontId="2" numFmtId="0" xfId="0" applyAlignment="1" applyBorder="1" applyFont="1">
      <alignment vertical="bottom"/>
    </xf>
    <xf borderId="1" fillId="23" fontId="2" numFmtId="0" xfId="0" applyAlignment="1" applyBorder="1" applyFont="1">
      <alignment horizontal="right" vertical="bottom"/>
    </xf>
    <xf borderId="96" fillId="23" fontId="2" numFmtId="0" xfId="0" applyAlignment="1" applyBorder="1" applyFont="1">
      <alignment readingOrder="0" vertical="bottom"/>
    </xf>
    <xf borderId="95" fillId="12" fontId="2" numFmtId="0" xfId="0" applyAlignment="1" applyBorder="1" applyFont="1">
      <alignment readingOrder="0" vertical="bottom"/>
    </xf>
    <xf borderId="33" fillId="42" fontId="2" numFmtId="0" xfId="0" applyAlignment="1" applyBorder="1" applyFill="1" applyFont="1">
      <alignment horizontal="right" vertical="bottom"/>
    </xf>
    <xf borderId="87" fillId="23" fontId="2" numFmtId="0" xfId="0" applyAlignment="1" applyBorder="1" applyFont="1">
      <alignment vertical="bottom"/>
    </xf>
    <xf borderId="0" fillId="6" fontId="63" numFmtId="0" xfId="0" applyAlignment="1" applyFont="1">
      <alignment horizontal="center"/>
    </xf>
    <xf borderId="33" fillId="23" fontId="2" numFmtId="0" xfId="0" applyAlignment="1" applyBorder="1" applyFont="1">
      <alignment horizontal="right" vertical="bottom"/>
    </xf>
    <xf borderId="66" fillId="23" fontId="2" numFmtId="0" xfId="0" applyAlignment="1" applyBorder="1" applyFont="1">
      <alignment horizontal="right" vertical="bottom"/>
    </xf>
    <xf borderId="95" fillId="24" fontId="2" numFmtId="0" xfId="0" applyAlignment="1" applyBorder="1" applyFont="1">
      <alignment readingOrder="0" vertical="bottom"/>
    </xf>
    <xf borderId="68" fillId="37" fontId="2" numFmtId="0" xfId="0" applyAlignment="1" applyBorder="1" applyFont="1">
      <alignment readingOrder="0" vertical="bottom"/>
    </xf>
    <xf borderId="68" fillId="37" fontId="2" numFmtId="0" xfId="0" applyAlignment="1" applyBorder="1" applyFont="1">
      <alignment horizontal="right" vertical="bottom"/>
    </xf>
    <xf borderId="68" fillId="38" fontId="2" numFmtId="0" xfId="0" applyAlignment="1" applyBorder="1" applyFont="1">
      <alignment vertical="bottom"/>
    </xf>
    <xf borderId="46" fillId="37" fontId="2" numFmtId="0" xfId="0" applyAlignment="1" applyBorder="1" applyFont="1">
      <alignment vertical="bottom"/>
    </xf>
    <xf borderId="68" fillId="37" fontId="2" numFmtId="0" xfId="0" applyAlignment="1" applyBorder="1" applyFont="1">
      <alignment vertical="bottom"/>
    </xf>
    <xf borderId="0" fillId="5" fontId="63" numFmtId="0" xfId="0" applyAlignment="1" applyFont="1">
      <alignment horizontal="center"/>
    </xf>
    <xf borderId="0" fillId="6" fontId="61" numFmtId="0" xfId="0" applyFont="1"/>
    <xf borderId="1" fillId="37" fontId="2" numFmtId="0" xfId="0" applyAlignment="1" applyBorder="1" applyFont="1">
      <alignment vertical="bottom"/>
    </xf>
    <xf borderId="96" fillId="37" fontId="2" numFmtId="0" xfId="0" applyAlignment="1" applyBorder="1" applyFont="1">
      <alignment vertical="bottom"/>
    </xf>
    <xf borderId="33" fillId="37" fontId="2" numFmtId="0" xfId="0" applyAlignment="1" applyBorder="1" applyFont="1">
      <alignment vertical="bottom"/>
    </xf>
    <xf borderId="87" fillId="37" fontId="2" numFmtId="0" xfId="0" applyAlignment="1" applyBorder="1" applyFont="1">
      <alignment vertical="bottom"/>
    </xf>
    <xf borderId="97" fillId="6" fontId="64" numFmtId="0" xfId="0" applyAlignment="1" applyBorder="1" applyFont="1">
      <alignment horizontal="center" readingOrder="0"/>
    </xf>
    <xf borderId="65" fillId="37" fontId="2" numFmtId="0" xfId="0" applyAlignment="1" applyBorder="1" applyFont="1">
      <alignment vertical="bottom"/>
    </xf>
    <xf borderId="95" fillId="20" fontId="2" numFmtId="0" xfId="0" applyAlignment="1" applyBorder="1" applyFont="1">
      <alignment readingOrder="0" vertical="bottom"/>
    </xf>
    <xf borderId="33" fillId="6" fontId="61" numFmtId="0" xfId="0" applyAlignment="1" applyBorder="1" applyFont="1">
      <alignment readingOrder="0"/>
    </xf>
    <xf borderId="97" fillId="6" fontId="66" numFmtId="0" xfId="0" applyBorder="1" applyFont="1"/>
    <xf borderId="97" fillId="6" fontId="63" numFmtId="0" xfId="0" applyAlignment="1" applyBorder="1" applyFont="1">
      <alignment horizontal="right" readingOrder="0"/>
    </xf>
    <xf borderId="1" fillId="6" fontId="2" numFmtId="0" xfId="0" applyAlignment="1" applyBorder="1" applyFont="1">
      <alignment readingOrder="0" vertical="bottom"/>
    </xf>
    <xf borderId="97" fillId="6" fontId="63" numFmtId="0" xfId="0" applyBorder="1" applyFont="1"/>
    <xf borderId="69" fillId="26" fontId="2" numFmtId="0" xfId="0" applyAlignment="1" applyBorder="1" applyFont="1">
      <alignment vertical="bottom"/>
    </xf>
    <xf borderId="80" fillId="6" fontId="2" numFmtId="0" xfId="0" applyAlignment="1" applyBorder="1" applyFont="1">
      <alignment vertical="bottom"/>
    </xf>
    <xf borderId="80" fillId="6" fontId="2" numFmtId="0" xfId="0" applyAlignment="1" applyBorder="1" applyFont="1">
      <alignment horizontal="right" vertical="bottom"/>
    </xf>
    <xf borderId="80" fillId="6" fontId="2" numFmtId="0" xfId="0" applyAlignment="1" applyBorder="1" applyFont="1">
      <alignment horizontal="right" readingOrder="0" vertical="bottom"/>
    </xf>
    <xf borderId="44" fillId="6" fontId="2" numFmtId="0" xfId="0" applyAlignment="1" applyBorder="1" applyFont="1">
      <alignment vertical="bottom"/>
    </xf>
    <xf borderId="0" fillId="5" fontId="64" numFmtId="0" xfId="0" applyAlignment="1" applyFont="1">
      <alignment horizontal="center" readingOrder="0"/>
    </xf>
    <xf borderId="13" fillId="6" fontId="2" numFmtId="0" xfId="0" applyAlignment="1" applyBorder="1" applyFont="1">
      <alignment vertical="bottom"/>
    </xf>
    <xf borderId="0" fillId="6" fontId="66" numFmtId="0" xfId="0" applyFont="1"/>
    <xf borderId="73" fillId="6" fontId="2" numFmtId="0" xfId="0" applyAlignment="1" applyBorder="1" applyFont="1">
      <alignment readingOrder="0" vertical="bottom"/>
    </xf>
    <xf borderId="77" fillId="6" fontId="2" numFmtId="0" xfId="0" applyAlignment="1" applyBorder="1" applyFont="1">
      <alignment horizontal="right" vertical="bottom"/>
    </xf>
    <xf borderId="77" fillId="6" fontId="2" numFmtId="0" xfId="0" applyAlignment="1" applyBorder="1" applyFont="1">
      <alignment vertical="bottom"/>
    </xf>
    <xf borderId="77" fillId="0" fontId="2" numFmtId="0" xfId="0" applyAlignment="1" applyBorder="1" applyFont="1">
      <alignment horizontal="right" vertical="bottom"/>
    </xf>
    <xf borderId="78" fillId="0" fontId="2" numFmtId="0" xfId="0" applyAlignment="1" applyBorder="1" applyFont="1">
      <alignment horizontal="right" vertical="bottom"/>
    </xf>
    <xf borderId="98" fillId="27" fontId="54" numFmtId="0" xfId="0" applyAlignment="1" applyBorder="1" applyFont="1">
      <alignment vertical="bottom"/>
    </xf>
    <xf borderId="68" fillId="38" fontId="2" numFmtId="0" xfId="0" applyAlignment="1" applyBorder="1" applyFont="1">
      <alignment readingOrder="0" vertical="bottom"/>
    </xf>
    <xf borderId="0" fillId="6" fontId="64" numFmtId="0" xfId="0" applyAlignment="1" applyFont="1">
      <alignment horizontal="center" readingOrder="0"/>
    </xf>
    <xf borderId="68" fillId="41" fontId="2" numFmtId="0" xfId="0" applyAlignment="1" applyBorder="1" applyFont="1">
      <alignment readingOrder="0" vertical="bottom"/>
    </xf>
    <xf borderId="68" fillId="23" fontId="2" numFmtId="0" xfId="0" applyAlignment="1" applyBorder="1" applyFont="1">
      <alignment horizontal="right" readingOrder="0" vertical="bottom"/>
    </xf>
    <xf borderId="68" fillId="42" fontId="2" numFmtId="0" xfId="0" applyAlignment="1" applyBorder="1" applyFont="1">
      <alignment readingOrder="0" vertical="bottom"/>
    </xf>
    <xf borderId="99" fillId="27" fontId="54" numFmtId="0" xfId="0" applyAlignment="1" applyBorder="1" applyFont="1">
      <alignment vertical="bottom"/>
    </xf>
    <xf borderId="0" fillId="5" fontId="66" numFmtId="0" xfId="0" applyFont="1"/>
    <xf borderId="90" fillId="0" fontId="67" numFmtId="0" xfId="0" applyAlignment="1" applyBorder="1" applyFont="1">
      <alignment horizontal="center" vertical="center"/>
    </xf>
    <xf borderId="70" fillId="0" fontId="9" numFmtId="0" xfId="0" applyBorder="1" applyFont="1"/>
    <xf borderId="0" fillId="0" fontId="68" numFmtId="0" xfId="0" applyFont="1"/>
    <xf borderId="71" fillId="27" fontId="56" numFmtId="0" xfId="0" applyAlignment="1" applyBorder="1" applyFont="1">
      <alignment horizontal="center" readingOrder="0"/>
    </xf>
    <xf borderId="61" fillId="12" fontId="69" numFmtId="0" xfId="0" applyAlignment="1" applyBorder="1" applyFont="1">
      <alignment horizontal="center"/>
    </xf>
    <xf borderId="59" fillId="12" fontId="69" numFmtId="0" xfId="0" applyAlignment="1" applyBorder="1" applyFont="1">
      <alignment horizontal="center"/>
    </xf>
    <xf borderId="59" fillId="12" fontId="56" numFmtId="0" xfId="0" applyAlignment="1" applyBorder="1" applyFont="1">
      <alignment horizontal="center" readingOrder="0"/>
    </xf>
    <xf borderId="59" fillId="13" fontId="56" numFmtId="0" xfId="0" applyAlignment="1" applyBorder="1" applyFont="1">
      <alignment horizontal="center" readingOrder="0"/>
    </xf>
    <xf borderId="59" fillId="13" fontId="69" numFmtId="0" xfId="0" applyAlignment="1" applyBorder="1" applyFont="1">
      <alignment horizontal="center"/>
    </xf>
    <xf borderId="60" fillId="13" fontId="69" numFmtId="0" xfId="0" applyAlignment="1" applyBorder="1" applyFont="1">
      <alignment horizontal="center"/>
    </xf>
    <xf borderId="71" fillId="27" fontId="49" numFmtId="0" xfId="0" applyAlignment="1" applyBorder="1" applyFont="1">
      <alignment readingOrder="0"/>
    </xf>
    <xf borderId="95" fillId="14" fontId="70" numFmtId="0" xfId="0" applyAlignment="1" applyBorder="1" applyFont="1">
      <alignment vertical="bottom"/>
    </xf>
    <xf borderId="62" fillId="0" fontId="71" numFmtId="0" xfId="0" applyBorder="1" applyFont="1"/>
    <xf borderId="96" fillId="37" fontId="2" numFmtId="0" xfId="0" applyAlignment="1" applyBorder="1" applyFont="1">
      <alignment readingOrder="0" vertical="bottom"/>
    </xf>
    <xf borderId="33" fillId="0" fontId="71" numFmtId="0" xfId="0" applyAlignment="1" applyBorder="1" applyFont="1">
      <alignment readingOrder="0"/>
    </xf>
    <xf borderId="95" fillId="20" fontId="2" numFmtId="0" xfId="0" applyAlignment="1" applyBorder="1" applyFont="1">
      <alignment readingOrder="0" shrinkToFit="0" vertical="bottom" wrapText="1"/>
    </xf>
    <xf borderId="1" fillId="6" fontId="72" numFmtId="0" xfId="0" applyBorder="1" applyFont="1"/>
    <xf borderId="68" fillId="36" fontId="2" numFmtId="0" xfId="0" applyAlignment="1" applyBorder="1" applyFont="1">
      <alignment readingOrder="0" vertical="bottom"/>
    </xf>
    <xf borderId="33" fillId="0" fontId="71" numFmtId="0" xfId="0" applyBorder="1" applyFont="1"/>
    <xf borderId="68" fillId="36" fontId="2" numFmtId="0" xfId="0" applyAlignment="1" applyBorder="1" applyFont="1">
      <alignment vertical="bottom"/>
    </xf>
    <xf borderId="33" fillId="6" fontId="72" numFmtId="0" xfId="0" applyBorder="1" applyFont="1"/>
    <xf borderId="46" fillId="36" fontId="2" numFmtId="0" xfId="0" applyAlignment="1" applyBorder="1" applyFont="1">
      <alignment vertical="bottom"/>
    </xf>
    <xf borderId="46" fillId="36" fontId="2" numFmtId="0" xfId="0" applyAlignment="1" applyBorder="1" applyFont="1">
      <alignment readingOrder="0" vertical="bottom"/>
    </xf>
    <xf borderId="71" fillId="27" fontId="49" numFmtId="0" xfId="0" applyBorder="1" applyFont="1"/>
    <xf borderId="0" fillId="6" fontId="73" numFmtId="166" xfId="0" applyAlignment="1" applyFont="1" applyNumberFormat="1">
      <alignment horizontal="left" readingOrder="0"/>
    </xf>
    <xf borderId="1" fillId="36" fontId="2" numFmtId="0" xfId="0" applyAlignment="1" applyBorder="1" applyFont="1">
      <alignment readingOrder="0" vertical="bottom"/>
    </xf>
    <xf borderId="95" fillId="15" fontId="70" numFmtId="0" xfId="0" applyAlignment="1" applyBorder="1" applyFont="1">
      <alignment vertical="bottom"/>
    </xf>
    <xf borderId="66" fillId="36" fontId="2" numFmtId="0" xfId="0" applyAlignment="1" applyBorder="1" applyFont="1">
      <alignment horizontal="right" vertical="bottom"/>
    </xf>
    <xf borderId="64" fillId="6" fontId="72" numFmtId="0" xfId="0" applyBorder="1" applyFont="1"/>
    <xf borderId="80" fillId="6" fontId="2" numFmtId="0" xfId="0" applyAlignment="1" applyBorder="1" applyFont="1">
      <alignment readingOrder="0" vertical="bottom"/>
    </xf>
    <xf borderId="95" fillId="17" fontId="70" numFmtId="0" xfId="0" applyAlignment="1" applyBorder="1" applyFont="1">
      <alignment vertical="bottom"/>
    </xf>
    <xf borderId="68" fillId="43" fontId="2" numFmtId="0" xfId="0" applyAlignment="1" applyBorder="1" applyFill="1" applyFont="1">
      <alignment readingOrder="0" shrinkToFit="0" vertical="bottom" wrapText="1"/>
    </xf>
    <xf borderId="95" fillId="18" fontId="70" numFmtId="0" xfId="0" applyAlignment="1" applyBorder="1" applyFont="1">
      <alignment readingOrder="0" vertical="bottom"/>
    </xf>
    <xf borderId="95" fillId="12" fontId="70" numFmtId="0" xfId="0" applyAlignment="1" applyBorder="1" applyFont="1">
      <alignment vertical="bottom"/>
    </xf>
    <xf borderId="90" fillId="0" fontId="67" numFmtId="0" xfId="0" applyAlignment="1" applyBorder="1" applyFont="1">
      <alignment horizontal="center" readingOrder="0" vertical="center"/>
    </xf>
    <xf borderId="95" fillId="20" fontId="70" numFmtId="0" xfId="0" applyAlignment="1" applyBorder="1" applyFont="1">
      <alignment vertical="bottom"/>
    </xf>
    <xf borderId="61" fillId="13" fontId="69" numFmtId="0" xfId="0" applyAlignment="1" applyBorder="1" applyFont="1">
      <alignment horizontal="center"/>
    </xf>
    <xf borderId="60" fillId="12" fontId="69" numFmtId="0" xfId="0" applyAlignment="1" applyBorder="1" applyFont="1">
      <alignment horizontal="center"/>
    </xf>
    <xf borderId="95" fillId="21" fontId="70" numFmtId="0" xfId="0" applyAlignment="1" applyBorder="1" applyFont="1">
      <alignment vertical="bottom"/>
    </xf>
    <xf borderId="62" fillId="0" fontId="71" numFmtId="4" xfId="0" applyBorder="1" applyFont="1" applyNumberFormat="1"/>
    <xf borderId="33" fillId="0" fontId="71" numFmtId="4" xfId="0" applyAlignment="1" applyBorder="1" applyFont="1" applyNumberFormat="1">
      <alignment readingOrder="0"/>
    </xf>
    <xf borderId="95" fillId="22" fontId="70" numFmtId="0" xfId="0" applyAlignment="1" applyBorder="1" applyFont="1">
      <alignment vertical="bottom"/>
    </xf>
    <xf borderId="1" fillId="6" fontId="72" numFmtId="4" xfId="0" applyBorder="1" applyFont="1" applyNumberFormat="1"/>
    <xf borderId="33" fillId="0" fontId="71" numFmtId="4" xfId="0" applyBorder="1" applyFont="1" applyNumberFormat="1"/>
    <xf borderId="33" fillId="6" fontId="72" numFmtId="4" xfId="0" applyBorder="1" applyFont="1" applyNumberFormat="1"/>
    <xf borderId="95" fillId="24" fontId="70" numFmtId="0" xfId="0" applyAlignment="1" applyBorder="1" applyFont="1">
      <alignment vertical="bottom"/>
    </xf>
    <xf borderId="54" fillId="0" fontId="71" numFmtId="0" xfId="0" applyBorder="1" applyFont="1"/>
    <xf borderId="71" fillId="27" fontId="49" numFmtId="4" xfId="0" applyBorder="1" applyFont="1" applyNumberFormat="1"/>
    <xf borderId="50" fillId="0" fontId="71" numFmtId="0" xfId="0" applyAlignment="1" applyBorder="1" applyFont="1">
      <alignment readingOrder="0"/>
    </xf>
    <xf borderId="17" fillId="6" fontId="72" numFmtId="0" xfId="0" applyBorder="1" applyFont="1"/>
    <xf borderId="64" fillId="6" fontId="72" numFmtId="4" xfId="0" applyBorder="1" applyFont="1" applyNumberFormat="1"/>
    <xf borderId="69" fillId="26" fontId="70" numFmtId="0" xfId="0" applyAlignment="1" applyBorder="1" applyFont="1">
      <alignment vertical="bottom"/>
    </xf>
    <xf borderId="100" fillId="27" fontId="49" numFmtId="0" xfId="0" applyBorder="1" applyFont="1"/>
    <xf borderId="47" fillId="44" fontId="74" numFmtId="0" xfId="0" applyAlignment="1" applyBorder="1" applyFill="1" applyFont="1">
      <alignment horizontal="center"/>
    </xf>
    <xf borderId="59" fillId="0" fontId="0" numFmtId="0" xfId="0" applyAlignment="1" applyBorder="1" applyFont="1">
      <alignment horizontal="center"/>
    </xf>
    <xf borderId="84" fillId="0" fontId="0" numFmtId="0" xfId="0" applyAlignment="1" applyBorder="1" applyFont="1">
      <alignment horizontal="center"/>
    </xf>
    <xf borderId="0" fillId="0" fontId="49" numFmtId="0" xfId="0" applyFont="1"/>
    <xf borderId="101" fillId="44" fontId="74" numFmtId="0" xfId="0" applyAlignment="1" applyBorder="1" applyFont="1">
      <alignment horizontal="center" textRotation="0"/>
    </xf>
    <xf borderId="33" fillId="0" fontId="0" numFmtId="0" xfId="0" applyAlignment="1" applyBorder="1" applyFont="1">
      <alignment horizontal="center"/>
    </xf>
    <xf borderId="66" fillId="0" fontId="0" numFmtId="0" xfId="0" applyAlignment="1" applyBorder="1" applyFont="1">
      <alignment horizontal="center"/>
    </xf>
    <xf borderId="41" fillId="45" fontId="55" numFmtId="0" xfId="0" applyAlignment="1" applyBorder="1" applyFill="1" applyFont="1">
      <alignment horizontal="center" readingOrder="0"/>
    </xf>
    <xf borderId="77" fillId="0" fontId="0" numFmtId="0" xfId="0" applyAlignment="1" applyBorder="1" applyFont="1">
      <alignment horizontal="center"/>
    </xf>
    <xf borderId="78" fillId="0" fontId="0" numFmtId="0" xfId="0" applyAlignment="1" applyBorder="1" applyFont="1">
      <alignment horizontal="center"/>
    </xf>
    <xf borderId="69" fillId="0" fontId="37" numFmtId="0" xfId="0" applyAlignment="1" applyBorder="1" applyFont="1">
      <alignment horizontal="center" readingOrder="0"/>
    </xf>
    <xf borderId="70" fillId="0" fontId="0" numFmtId="0" xfId="0" applyAlignment="1" applyBorder="1" applyFont="1">
      <alignment horizontal="center"/>
    </xf>
    <xf borderId="71" fillId="0" fontId="37" numFmtId="0" xfId="0" applyAlignment="1" applyBorder="1" applyFont="1">
      <alignment horizontal="center" readingOrder="0"/>
    </xf>
    <xf borderId="41" fillId="0" fontId="0" numFmtId="0" xfId="0" applyAlignment="1" applyBorder="1" applyFont="1">
      <alignment horizontal="center" readingOrder="0"/>
    </xf>
    <xf borderId="50" fillId="0" fontId="71" numFmtId="4" xfId="0" applyAlignment="1" applyBorder="1" applyFont="1" applyNumberFormat="1">
      <alignment readingOrder="0"/>
    </xf>
    <xf borderId="17" fillId="6" fontId="72" numFmtId="4" xfId="0" applyBorder="1" applyFont="1" applyNumberFormat="1"/>
    <xf borderId="100" fillId="27" fontId="49" numFmtId="4" xfId="0" applyBorder="1" applyFont="1" applyNumberFormat="1"/>
    <xf borderId="59" fillId="0" fontId="0" numFmtId="4" xfId="0" applyAlignment="1" applyBorder="1" applyFont="1" applyNumberFormat="1">
      <alignment horizontal="center"/>
    </xf>
    <xf borderId="84" fillId="0" fontId="0" numFmtId="4" xfId="0" applyAlignment="1" applyBorder="1" applyFont="1" applyNumberFormat="1">
      <alignment horizontal="center"/>
    </xf>
    <xf borderId="0" fillId="0" fontId="49" numFmtId="4" xfId="0" applyFont="1" applyNumberFormat="1"/>
    <xf borderId="33" fillId="0" fontId="0" numFmtId="4" xfId="0" applyAlignment="1" applyBorder="1" applyFont="1" applyNumberFormat="1">
      <alignment horizontal="center"/>
    </xf>
    <xf borderId="66" fillId="0" fontId="0" numFmtId="4" xfId="0" applyAlignment="1" applyBorder="1" applyFont="1" applyNumberFormat="1">
      <alignment horizontal="center"/>
    </xf>
    <xf borderId="77" fillId="0" fontId="0" numFmtId="4" xfId="0" applyAlignment="1" applyBorder="1" applyFont="1" applyNumberFormat="1">
      <alignment horizontal="center"/>
    </xf>
    <xf borderId="78" fillId="0" fontId="0" numFmtId="4" xfId="0" applyAlignment="1" applyBorder="1" applyFont="1" applyNumberFormat="1">
      <alignment horizontal="center"/>
    </xf>
    <xf borderId="70" fillId="0" fontId="0" numFmtId="4" xfId="0" applyAlignment="1" applyBorder="1" applyFont="1" applyNumberFormat="1">
      <alignment horizontal="center"/>
    </xf>
    <xf borderId="0" fillId="0" fontId="37" numFmtId="4" xfId="0" applyFont="1" applyNumberFormat="1"/>
    <xf borderId="41" fillId="0" fontId="0" numFmtId="4" xfId="0" applyAlignment="1" applyBorder="1" applyFont="1" applyNumberFormat="1">
      <alignment horizontal="center" readingOrder="0"/>
    </xf>
    <xf borderId="0" fillId="10" fontId="37" numFmtId="0" xfId="0" applyFont="1"/>
    <xf borderId="102" fillId="46" fontId="75" numFmtId="0" xfId="0" applyAlignment="1" applyBorder="1" applyFill="1" applyFont="1">
      <alignment horizontal="center" readingOrder="0"/>
    </xf>
    <xf borderId="0" fillId="47" fontId="76" numFmtId="0" xfId="0" applyAlignment="1" applyFill="1" applyFont="1">
      <alignment horizontal="center" readingOrder="0" vertical="center"/>
    </xf>
    <xf borderId="103" fillId="48" fontId="77" numFmtId="0" xfId="0" applyAlignment="1" applyBorder="1" applyFill="1" applyFont="1">
      <alignment readingOrder="0"/>
    </xf>
    <xf borderId="104" fillId="48" fontId="77" numFmtId="0" xfId="0" applyAlignment="1" applyBorder="1" applyFont="1">
      <alignment readingOrder="0"/>
    </xf>
    <xf borderId="104" fillId="48" fontId="78" numFmtId="0" xfId="0" applyAlignment="1" applyBorder="1" applyFont="1">
      <alignment horizontal="center" readingOrder="0"/>
    </xf>
    <xf borderId="104" fillId="16" fontId="77" numFmtId="0" xfId="0" applyAlignment="1" applyBorder="1" applyFont="1">
      <alignment horizontal="center" readingOrder="0"/>
    </xf>
    <xf borderId="104" fillId="47" fontId="77" numFmtId="0" xfId="0" applyAlignment="1" applyBorder="1" applyFont="1">
      <alignment horizontal="left" readingOrder="0"/>
    </xf>
    <xf borderId="104" fillId="48" fontId="77" numFmtId="0" xfId="0" applyAlignment="1" applyBorder="1" applyFont="1">
      <alignment horizontal="left" readingOrder="0"/>
    </xf>
    <xf borderId="105" fillId="7" fontId="77" numFmtId="0" xfId="0" applyAlignment="1" applyBorder="1" applyFont="1">
      <alignment readingOrder="0"/>
    </xf>
    <xf borderId="1" fillId="5" fontId="79" numFmtId="0" xfId="0" applyAlignment="1" applyBorder="1" applyFont="1">
      <alignment readingOrder="0"/>
    </xf>
    <xf borderId="1" fillId="5" fontId="80" numFmtId="0" xfId="0" applyBorder="1" applyFont="1"/>
    <xf borderId="1" fillId="5" fontId="81" numFmtId="0" xfId="0" applyAlignment="1" applyBorder="1" applyFont="1">
      <alignment readingOrder="0"/>
    </xf>
    <xf borderId="1" fillId="33" fontId="79" numFmtId="4" xfId="0" applyAlignment="1" applyBorder="1" applyFont="1" applyNumberFormat="1">
      <alignment horizontal="center" readingOrder="0"/>
    </xf>
    <xf borderId="1" fillId="36" fontId="79" numFmtId="4" xfId="0" applyAlignment="1" applyBorder="1" applyFont="1" applyNumberFormat="1">
      <alignment horizontal="center"/>
    </xf>
    <xf borderId="1" fillId="47" fontId="79" numFmtId="4" xfId="0" applyAlignment="1" applyBorder="1" applyFont="1" applyNumberFormat="1">
      <alignment horizontal="center"/>
    </xf>
    <xf borderId="1" fillId="5" fontId="79" numFmtId="10" xfId="0" applyAlignment="1" applyBorder="1" applyFont="1" applyNumberFormat="1">
      <alignment horizontal="left"/>
    </xf>
    <xf borderId="1" fillId="36" fontId="82" numFmtId="169" xfId="0" applyAlignment="1" applyBorder="1" applyFont="1" applyNumberFormat="1">
      <alignment horizontal="left"/>
    </xf>
    <xf borderId="1" fillId="36" fontId="82" numFmtId="165" xfId="0" applyAlignment="1" applyBorder="1" applyFont="1" applyNumberFormat="1">
      <alignment horizontal="left" readingOrder="0"/>
    </xf>
    <xf borderId="0" fillId="10" fontId="61" numFmtId="0" xfId="0" applyFont="1"/>
    <xf borderId="106" fillId="7" fontId="77" numFmtId="0" xfId="0" applyAlignment="1" applyBorder="1" applyFont="1">
      <alignment readingOrder="0"/>
    </xf>
    <xf borderId="64" fillId="5" fontId="79" numFmtId="0" xfId="0" applyAlignment="1" applyBorder="1" applyFont="1">
      <alignment readingOrder="0"/>
    </xf>
    <xf borderId="64" fillId="5" fontId="80" numFmtId="0" xfId="0" applyBorder="1" applyFont="1"/>
    <xf borderId="64" fillId="5" fontId="81" numFmtId="0" xfId="0" applyAlignment="1" applyBorder="1" applyFont="1">
      <alignment readingOrder="0"/>
    </xf>
    <xf borderId="64" fillId="33" fontId="79" numFmtId="4" xfId="0" applyAlignment="1" applyBorder="1" applyFont="1" applyNumberFormat="1">
      <alignment horizontal="center" readingOrder="0"/>
    </xf>
    <xf borderId="64" fillId="36" fontId="79" numFmtId="4" xfId="0" applyAlignment="1" applyBorder="1" applyFont="1" applyNumberFormat="1">
      <alignment horizontal="center"/>
    </xf>
    <xf borderId="64" fillId="47" fontId="79" numFmtId="4" xfId="0" applyAlignment="1" applyBorder="1" applyFont="1" applyNumberFormat="1">
      <alignment horizontal="center"/>
    </xf>
    <xf borderId="64" fillId="5" fontId="79" numFmtId="10" xfId="0" applyAlignment="1" applyBorder="1" applyFont="1" applyNumberFormat="1">
      <alignment horizontal="left"/>
    </xf>
    <xf borderId="64" fillId="36" fontId="79" numFmtId="4" xfId="0" applyAlignment="1" applyBorder="1" applyFont="1" applyNumberFormat="1">
      <alignment horizontal="center" readingOrder="0"/>
    </xf>
    <xf borderId="64" fillId="47" fontId="79" numFmtId="4" xfId="0" applyAlignment="1" applyBorder="1" applyFont="1" applyNumberFormat="1">
      <alignment horizontal="center" readingOrder="0"/>
    </xf>
    <xf borderId="106" fillId="49" fontId="77" numFmtId="0" xfId="0" applyAlignment="1" applyBorder="1" applyFill="1" applyFont="1">
      <alignment readingOrder="0"/>
    </xf>
    <xf borderId="64" fillId="5" fontId="83" numFmtId="0" xfId="0" applyAlignment="1" applyBorder="1" applyFont="1">
      <alignment readingOrder="0"/>
    </xf>
    <xf borderId="0" fillId="10" fontId="84" numFmtId="0" xfId="0" applyAlignment="1" applyFont="1">
      <alignment horizontal="left"/>
    </xf>
    <xf borderId="106" fillId="5" fontId="79" numFmtId="0" xfId="0" applyAlignment="1" applyBorder="1" applyFont="1">
      <alignment readingOrder="0"/>
    </xf>
    <xf borderId="64" fillId="50" fontId="79" numFmtId="4" xfId="0" applyAlignment="1" applyBorder="1" applyFill="1" applyFont="1" applyNumberFormat="1">
      <alignment horizontal="center" readingOrder="0"/>
    </xf>
    <xf borderId="64" fillId="50" fontId="79" numFmtId="4" xfId="0" applyAlignment="1" applyBorder="1" applyFont="1" applyNumberFormat="1">
      <alignment horizontal="center"/>
    </xf>
    <xf borderId="1" fillId="50" fontId="79" numFmtId="4" xfId="0" applyAlignment="1" applyBorder="1" applyFont="1" applyNumberFormat="1">
      <alignment horizontal="center"/>
    </xf>
    <xf borderId="1" fillId="50" fontId="79" numFmtId="10" xfId="0" applyAlignment="1" applyBorder="1" applyFont="1" applyNumberFormat="1">
      <alignment horizontal="left"/>
    </xf>
    <xf borderId="64" fillId="50" fontId="79" numFmtId="10" xfId="0" applyAlignment="1" applyBorder="1" applyFont="1" applyNumberFormat="1">
      <alignment horizontal="left"/>
    </xf>
    <xf borderId="1" fillId="50" fontId="82" numFmtId="169" xfId="0" applyAlignment="1" applyBorder="1" applyFont="1" applyNumberFormat="1">
      <alignment horizontal="left"/>
    </xf>
    <xf borderId="1" fillId="50" fontId="82" numFmtId="165" xfId="0" applyAlignment="1" applyBorder="1" applyFont="1" applyNumberFormat="1">
      <alignment horizontal="left" readingOrder="0"/>
    </xf>
    <xf borderId="107" fillId="5" fontId="79" numFmtId="0" xfId="0" applyAlignment="1" applyBorder="1" applyFont="1">
      <alignment readingOrder="0"/>
    </xf>
    <xf borderId="17" fillId="5" fontId="79" numFmtId="0" xfId="0" applyAlignment="1" applyBorder="1" applyFont="1">
      <alignment readingOrder="0"/>
    </xf>
    <xf borderId="17" fillId="5" fontId="81" numFmtId="0" xfId="0" applyAlignment="1" applyBorder="1" applyFont="1">
      <alignment readingOrder="0"/>
    </xf>
    <xf borderId="17" fillId="50" fontId="79" numFmtId="4" xfId="0" applyAlignment="1" applyBorder="1" applyFont="1" applyNumberFormat="1">
      <alignment horizontal="center" readingOrder="0"/>
    </xf>
    <xf borderId="17" fillId="50" fontId="79" numFmtId="4" xfId="0" applyAlignment="1" applyBorder="1" applyFont="1" applyNumberFormat="1">
      <alignment horizontal="center"/>
    </xf>
    <xf borderId="0" fillId="50" fontId="79" numFmtId="4" xfId="0" applyAlignment="1" applyFont="1" applyNumberFormat="1">
      <alignment horizontal="center"/>
    </xf>
    <xf borderId="0" fillId="50" fontId="79" numFmtId="10" xfId="0" applyAlignment="1" applyFont="1" applyNumberFormat="1">
      <alignment horizontal="left"/>
    </xf>
    <xf borderId="17" fillId="50" fontId="79" numFmtId="10" xfId="0" applyAlignment="1" applyBorder="1" applyFont="1" applyNumberFormat="1">
      <alignment horizontal="left"/>
    </xf>
    <xf borderId="0" fillId="10" fontId="85" numFmtId="0" xfId="0" applyAlignment="1" applyFont="1">
      <alignment horizontal="center" readingOrder="0"/>
    </xf>
    <xf borderId="0" fillId="10" fontId="86" numFmtId="0" xfId="0" applyAlignment="1" applyFont="1">
      <alignment readingOrder="0"/>
    </xf>
    <xf borderId="108" fillId="41" fontId="79" numFmtId="0" xfId="0" applyAlignment="1" applyBorder="1" applyFont="1">
      <alignment readingOrder="0"/>
    </xf>
    <xf borderId="32" fillId="41" fontId="79" numFmtId="4" xfId="0" applyAlignment="1" applyBorder="1" applyFont="1" applyNumberFormat="1">
      <alignment horizontal="center" readingOrder="0"/>
    </xf>
    <xf borderId="32" fillId="41" fontId="79" numFmtId="0" xfId="0" applyAlignment="1" applyBorder="1" applyFont="1">
      <alignment horizontal="center" readingOrder="0"/>
    </xf>
    <xf borderId="32" fillId="41" fontId="79" numFmtId="10" xfId="0" applyAlignment="1" applyBorder="1" applyFont="1" applyNumberFormat="1">
      <alignment horizontal="center"/>
    </xf>
    <xf borderId="32" fillId="41" fontId="82" numFmtId="169" xfId="0" applyAlignment="1" applyBorder="1" applyFont="1" applyNumberFormat="1">
      <alignment horizontal="center"/>
    </xf>
    <xf borderId="32" fillId="41" fontId="82" numFmtId="165" xfId="0" applyAlignment="1" applyBorder="1" applyFont="1" applyNumberFormat="1">
      <alignment horizontal="center" readingOrder="0"/>
    </xf>
    <xf borderId="0" fillId="10" fontId="80" numFmtId="170" xfId="0" applyAlignment="1" applyFont="1" applyNumberFormat="1">
      <alignment horizontal="center"/>
    </xf>
    <xf borderId="109" fillId="47" fontId="87" numFmtId="0" xfId="0" applyAlignment="1" applyBorder="1" applyFont="1">
      <alignment horizontal="center" readingOrder="0"/>
    </xf>
    <xf borderId="110" fillId="0" fontId="9" numFmtId="0" xfId="0" applyBorder="1" applyFont="1"/>
    <xf borderId="0" fillId="10" fontId="37" numFmtId="170" xfId="0" applyAlignment="1" applyFont="1" applyNumberFormat="1">
      <alignment horizontal="center"/>
    </xf>
    <xf borderId="111" fillId="5" fontId="86" numFmtId="0" xfId="0" applyAlignment="1" applyBorder="1" applyFont="1">
      <alignment horizontal="center" readingOrder="0"/>
    </xf>
    <xf borderId="112" fillId="5" fontId="86" numFmtId="0" xfId="0" applyAlignment="1" applyBorder="1" applyFont="1">
      <alignment horizontal="center" readingOrder="0"/>
    </xf>
    <xf borderId="113" fillId="48" fontId="86" numFmtId="0" xfId="0" applyAlignment="1" applyBorder="1" applyFont="1">
      <alignment horizontal="left" readingOrder="0"/>
    </xf>
    <xf borderId="13" fillId="48" fontId="88" numFmtId="169" xfId="0" applyAlignment="1" applyBorder="1" applyFont="1" applyNumberFormat="1">
      <alignment horizontal="center" readingOrder="0"/>
    </xf>
    <xf borderId="13" fillId="48" fontId="88" numFmtId="0" xfId="0" applyAlignment="1" applyBorder="1" applyFont="1">
      <alignment horizontal="center" readingOrder="0"/>
    </xf>
    <xf borderId="0" fillId="10" fontId="2" numFmtId="0" xfId="0" applyAlignment="1" applyFont="1">
      <alignment vertical="bottom"/>
    </xf>
    <xf borderId="114" fillId="5" fontId="86" numFmtId="171" xfId="0" applyAlignment="1" applyBorder="1" applyFont="1" applyNumberFormat="1">
      <alignment horizontal="center" readingOrder="0"/>
    </xf>
    <xf borderId="115" fillId="5" fontId="86" numFmtId="171" xfId="0" applyAlignment="1" applyBorder="1" applyFont="1" applyNumberFormat="1">
      <alignment horizontal="center" readingOrder="0"/>
    </xf>
    <xf borderId="116" fillId="48" fontId="89" numFmtId="0" xfId="0" applyAlignment="1" applyBorder="1" applyFont="1">
      <alignment horizontal="left" readingOrder="0"/>
    </xf>
    <xf borderId="1" fillId="48" fontId="78" numFmtId="169" xfId="0" applyAlignment="1" applyBorder="1" applyFont="1" applyNumberFormat="1">
      <alignment horizontal="center"/>
    </xf>
    <xf borderId="1" fillId="48" fontId="81" numFmtId="10" xfId="0" applyAlignment="1" applyBorder="1" applyFont="1" applyNumberFormat="1">
      <alignment horizontal="center" readingOrder="0"/>
    </xf>
    <xf borderId="117" fillId="5" fontId="86" numFmtId="171" xfId="0" applyAlignment="1" applyBorder="1" applyFont="1" applyNumberFormat="1">
      <alignment horizontal="center" readingOrder="0"/>
    </xf>
    <xf borderId="118" fillId="5" fontId="86" numFmtId="171" xfId="0" applyAlignment="1" applyBorder="1" applyFont="1" applyNumberFormat="1">
      <alignment horizontal="center" readingOrder="0"/>
    </xf>
    <xf borderId="64" fillId="48" fontId="78" numFmtId="169" xfId="0" applyAlignment="1" applyBorder="1" applyFont="1" applyNumberFormat="1">
      <alignment horizontal="center" readingOrder="0"/>
    </xf>
    <xf borderId="64" fillId="48" fontId="78" numFmtId="10" xfId="0" applyAlignment="1" applyBorder="1" applyFont="1" applyNumberFormat="1">
      <alignment horizontal="center" readingOrder="0"/>
    </xf>
    <xf borderId="119" fillId="48" fontId="90" numFmtId="170" xfId="0" applyAlignment="1" applyBorder="1" applyFont="1" applyNumberFormat="1">
      <alignment horizontal="left" readingOrder="0"/>
    </xf>
    <xf borderId="120" fillId="48" fontId="78" numFmtId="169" xfId="0" applyAlignment="1" applyBorder="1" applyFont="1" applyNumberFormat="1">
      <alignment horizontal="center"/>
    </xf>
    <xf borderId="120" fillId="0" fontId="9" numFmtId="0" xfId="0" applyBorder="1" applyFont="1"/>
    <xf borderId="120" fillId="48" fontId="78" numFmtId="10" xfId="0" applyAlignment="1" applyBorder="1" applyFont="1" applyNumberFormat="1">
      <alignment horizontal="center"/>
    </xf>
    <xf borderId="0" fillId="10" fontId="91" numFmtId="0" xfId="0" applyAlignment="1" applyFont="1">
      <alignment horizontal="center" readingOrder="0"/>
    </xf>
    <xf borderId="0" fillId="5" fontId="90" numFmtId="0" xfId="0" applyAlignment="1" applyFont="1">
      <alignment horizontal="center" readingOrder="0"/>
    </xf>
    <xf borderId="0" fillId="5" fontId="2" numFmtId="0" xfId="0" applyAlignment="1" applyFont="1">
      <alignment horizontal="right" readingOrder="0" shrinkToFit="0" vertical="center" wrapText="1"/>
    </xf>
    <xf borderId="0" fillId="5" fontId="80" numFmtId="0" xfId="0" applyAlignment="1" applyFont="1">
      <alignment readingOrder="0"/>
    </xf>
    <xf borderId="13" fillId="5" fontId="90" numFmtId="0" xfId="0" applyAlignment="1" applyBorder="1" applyFont="1">
      <alignment horizontal="center" readingOrder="0"/>
    </xf>
    <xf borderId="13" fillId="5" fontId="92" numFmtId="0" xfId="0" applyAlignment="1" applyBorder="1" applyFont="1">
      <alignment horizontal="center" readingOrder="0"/>
    </xf>
    <xf borderId="13" fillId="5" fontId="93" numFmtId="0" xfId="0" applyAlignment="1" applyBorder="1" applyFont="1">
      <alignment horizontal="center" readingOrder="0" vertical="bottom"/>
    </xf>
    <xf borderId="0" fillId="5" fontId="2" numFmtId="4" xfId="0" applyAlignment="1" applyFont="1" applyNumberFormat="1">
      <alignment readingOrder="0" vertical="bottom"/>
    </xf>
    <xf borderId="0" fillId="5" fontId="2" numFmtId="0" xfId="0" applyAlignment="1" applyFont="1">
      <alignment readingOrder="0" vertical="bottom"/>
    </xf>
    <xf borderId="32" fillId="5" fontId="80" numFmtId="0" xfId="0" applyAlignment="1" applyBorder="1" applyFont="1">
      <alignment readingOrder="0"/>
    </xf>
    <xf borderId="0" fillId="48" fontId="80" numFmtId="1" xfId="0" applyAlignment="1" applyFont="1" applyNumberFormat="1">
      <alignment horizontal="center" readingOrder="0"/>
    </xf>
    <xf borderId="0" fillId="5" fontId="80" numFmtId="1" xfId="0" applyAlignment="1" applyFont="1" applyNumberFormat="1">
      <alignment horizontal="center" readingOrder="0"/>
    </xf>
    <xf borderId="0" fillId="5" fontId="94" numFmtId="1" xfId="0" applyAlignment="1" applyFont="1" applyNumberFormat="1">
      <alignment horizontal="center" readingOrder="0"/>
    </xf>
    <xf borderId="0" fillId="49" fontId="94" numFmtId="1" xfId="0" applyAlignment="1" applyFont="1" applyNumberFormat="1">
      <alignment horizontal="center" readingOrder="0"/>
    </xf>
    <xf borderId="0" fillId="47" fontId="80" numFmtId="0" xfId="0" applyAlignment="1" applyFont="1">
      <alignment readingOrder="0"/>
    </xf>
    <xf borderId="0" fillId="47" fontId="80" numFmtId="1" xfId="0" applyAlignment="1" applyFont="1" applyNumberFormat="1">
      <alignment horizontal="center" readingOrder="0"/>
    </xf>
    <xf borderId="0" fillId="47" fontId="94" numFmtId="1" xfId="0" applyAlignment="1" applyFont="1" applyNumberFormat="1">
      <alignment horizontal="center" readingOrder="0"/>
    </xf>
    <xf borderId="0" fillId="47" fontId="95" numFmtId="1" xfId="0" applyAlignment="1" applyFont="1" applyNumberFormat="1">
      <alignment horizontal="center" readingOrder="0" vertical="bottom"/>
    </xf>
    <xf borderId="0" fillId="51" fontId="80" numFmtId="0" xfId="0" applyAlignment="1" applyFill="1" applyFont="1">
      <alignment readingOrder="0"/>
    </xf>
    <xf borderId="0" fillId="51" fontId="94" numFmtId="1" xfId="0" applyAlignment="1" applyFont="1" applyNumberFormat="1">
      <alignment horizontal="center" readingOrder="0"/>
    </xf>
    <xf borderId="0" fillId="48" fontId="90" numFmtId="0" xfId="0" applyAlignment="1" applyFont="1">
      <alignment horizontal="center" readingOrder="0"/>
    </xf>
    <xf borderId="0" fillId="48" fontId="80" numFmtId="0" xfId="0" applyAlignment="1" applyFont="1">
      <alignment horizontal="center" readingOrder="0"/>
    </xf>
    <xf borderId="0" fillId="48" fontId="80" numFmtId="10" xfId="0" applyAlignment="1" applyFont="1" applyNumberFormat="1">
      <alignment horizontal="center" readingOrder="0"/>
    </xf>
    <xf borderId="0" fillId="10" fontId="90" numFmtId="0" xfId="0" applyAlignment="1" applyFont="1">
      <alignment horizontal="center" readingOrder="0"/>
    </xf>
    <xf borderId="0" fillId="10" fontId="37" numFmtId="0" xfId="0" applyFont="1"/>
    <xf borderId="0" fillId="10" fontId="37" numFmtId="0" xfId="0" applyAlignment="1" applyFont="1">
      <alignment readingOrder="0"/>
    </xf>
    <xf borderId="0" fillId="45" fontId="37" numFmtId="0" xfId="0" applyFont="1"/>
    <xf borderId="0" fillId="10" fontId="85" numFmtId="0" xfId="0" applyAlignment="1" applyFont="1">
      <alignment readingOrder="0"/>
    </xf>
  </cellXfs>
  <cellStyles count="1">
    <cellStyle xfId="0" name="Normal" builtinId="0"/>
  </cellStyles>
  <dxfs count="13">
    <dxf>
      <font>
        <color rgb="FFD66466"/>
      </font>
      <fill>
        <patternFill patternType="none"/>
      </fill>
      <border/>
    </dxf>
    <dxf>
      <font>
        <color rgb="FF6F6F6F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  <dxf>
      <font/>
      <fill>
        <patternFill patternType="none"/>
      </fill>
      <border/>
    </dxf>
    <dxf>
      <font>
        <color rgb="FFA1D6CE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D66466"/>
          <bgColor rgb="FFD66466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  <tableStyles count="2">
    <tableStyle count="3" pivot="0" name="Investments-style">
      <tableStyleElement dxfId="9" type="headerRow"/>
      <tableStyleElement dxfId="10" type="firstRowStripe"/>
      <tableStyleElement dxfId="11" type="secondRowStripe"/>
    </tableStyle>
    <tableStyle count="3" pivot="0" name="Investments-style 2">
      <tableStyleElement dxfId="9" type="headerRow"/>
      <tableStyleElement dxfId="10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Rent paid in 2023</a:t>
            </a:r>
          </a:p>
        </c:rich>
      </c:tx>
      <c:overlay val="0"/>
    </c:title>
    <c:plotArea>
      <c:layout>
        <c:manualLayout>
          <c:xMode val="edge"/>
          <c:yMode val="edge"/>
          <c:x val="0.1132414596273292"/>
          <c:y val="0.15341419586702604"/>
          <c:w val="0.8625349378881988"/>
          <c:h val="0.7804132973944294"/>
        </c:manualLayout>
      </c:layout>
      <c:areaChart>
        <c:grouping val="stacked"/>
        <c:ser>
          <c:idx val="0"/>
          <c:order val="0"/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dLbls>
            <c:numFmt formatCode="_-* #,##0.00\ [$Ft-40E]_-;\-* #,##0.00\ [$Ft-40E]_-;_-* &quot;-&quot;??\ [$Ft-40E]_-;_-@" sourceLinked="0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errBars>
            <c:errDir val="y"/>
            <c:errBarType val="both"/>
            <c:errValType val="percentage"/>
            <c:noEndCap val="0"/>
            <c:val val="10.0"/>
          </c:errBars>
          <c:cat>
            <c:strRef>
              <c:f>'2023'!$T$332:$T$343</c:f>
            </c:strRef>
          </c:cat>
          <c:val>
            <c:numRef>
              <c:f>'2023'!$U$332:$U$343</c:f>
              <c:numCache/>
            </c:numRef>
          </c:val>
        </c:ser>
        <c:axId val="1466797887"/>
        <c:axId val="1304294112"/>
      </c:areaChart>
      <c:catAx>
        <c:axId val="14667978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04294112"/>
      </c:catAx>
      <c:valAx>
        <c:axId val="1304294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7978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Spent on groceries in 2023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  <a:prstDash val="sysDot"/>
            </a:ln>
          </c:spPr>
          <c:cat>
            <c:strRef>
              <c:f>'2023'!$T$332:$T$343</c:f>
            </c:strRef>
          </c:cat>
          <c:val>
            <c:numRef>
              <c:f>'2023'!$V$332:$V$343</c:f>
              <c:numCache/>
            </c:numRef>
          </c:val>
        </c:ser>
        <c:overlap val="100"/>
        <c:axId val="536253127"/>
        <c:axId val="1530841523"/>
      </c:barChart>
      <c:catAx>
        <c:axId val="536253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30841523"/>
      </c:catAx>
      <c:valAx>
        <c:axId val="1530841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2531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Gained &amp; Spent every month in 2023</a:t>
            </a:r>
          </a:p>
        </c:rich>
      </c:tx>
      <c:overlay val="0"/>
    </c:title>
    <c:plotArea>
      <c:layout/>
      <c:areaChart>
        <c:ser>
          <c:idx val="0"/>
          <c:order val="0"/>
          <c:spPr>
            <a:solidFill>
              <a:srgbClr val="00B050">
                <a:alpha val="30000"/>
              </a:srgbClr>
            </a:solidFill>
            <a:ln cmpd="sng">
              <a:solidFill>
                <a:srgbClr val="00B050">
                  <a:alpha val="100000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'2023'!$T$349:$T$360</c:f>
            </c:strRef>
          </c:cat>
          <c:val>
            <c:numRef>
              <c:f>'2023'!$U$349:$U$360</c:f>
              <c:numCache/>
            </c:numRef>
          </c:val>
        </c:ser>
        <c:ser>
          <c:idx val="1"/>
          <c:order val="1"/>
          <c:spPr>
            <a:solidFill>
              <a:srgbClr val="ED7D31">
                <a:alpha val="30000"/>
              </a:srgbClr>
            </a:solidFill>
            <a:ln cmpd="sng">
              <a:solidFill>
                <a:srgbClr val="ED7D31"/>
              </a:solidFill>
              <a:prstDash val="dash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'2023'!$T$349:$T$360</c:f>
            </c:strRef>
          </c:cat>
          <c:val>
            <c:numRef>
              <c:f>'2023'!$W$349:$W$360</c:f>
              <c:numCache/>
            </c:numRef>
          </c:val>
        </c:ser>
        <c:ser>
          <c:idx val="2"/>
          <c:order val="2"/>
          <c:spPr>
            <a:solidFill>
              <a:srgbClr val="D66466">
                <a:alpha val="30000"/>
              </a:srgbClr>
            </a:solidFill>
            <a:ln cmpd="sng">
              <a:solidFill>
                <a:srgbClr val="D66466">
                  <a:alpha val="100000"/>
                </a:srgbClr>
              </a:solidFill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'2023'!$T$349:$T$360</c:f>
            </c:strRef>
          </c:cat>
          <c:val>
            <c:numRef>
              <c:f>'2023'!$V$349:$V$360</c:f>
              <c:numCache/>
            </c:numRef>
          </c:val>
        </c:ser>
        <c:axId val="1649918204"/>
        <c:axId val="784727675"/>
      </c:areaChart>
      <c:catAx>
        <c:axId val="1649918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4727675"/>
      </c:catAx>
      <c:valAx>
        <c:axId val="784727675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9182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in 2023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rgbClr val="00B05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'2023'!$T$365:$T$367</c:f>
            </c:strRef>
          </c:cat>
          <c:val>
            <c:numRef>
              <c:f>'2023'!$U$365:$U$367</c:f>
              <c:numCache/>
            </c:numRef>
          </c:val>
        </c:ser>
        <c:overlap val="100"/>
        <c:axId val="1446331985"/>
        <c:axId val="427623292"/>
      </c:barChart>
      <c:catAx>
        <c:axId val="14463319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</a:p>
        </c:txPr>
        <c:crossAx val="427623292"/>
      </c:catAx>
      <c:valAx>
        <c:axId val="4276232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3319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Spendings by category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Pt>
            <c:idx val="10"/>
            <c:spPr>
              <a:solidFill>
                <a:srgbClr val="7C9CD6"/>
              </a:solidFill>
            </c:spPr>
          </c:dPt>
          <c:dPt>
            <c:idx val="11"/>
            <c:spPr>
              <a:solidFill>
                <a:srgbClr val="9BC67E"/>
              </a:solidFill>
            </c:spPr>
          </c:dPt>
          <c:dPt>
            <c:idx val="12"/>
            <c:spPr>
              <a:solidFill>
                <a:srgbClr val="BDD7EE"/>
              </a:solidFill>
            </c:spPr>
          </c:dPt>
          <c:dPt>
            <c:idx val="13"/>
            <c:spPr>
              <a:solidFill>
                <a:srgbClr val="F8CBA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'2023'!$Y$348:$Y$361</c:f>
            </c:strRef>
          </c:cat>
          <c:val>
            <c:numRef>
              <c:f>'2023'!$Z$348:$Z$361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layout>
        <c:manualLayout>
          <c:xMode val="edge"/>
          <c:yMode val="edge"/>
          <c:x val="0.7656190453506098"/>
          <c:y val="0.1545623836126629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00B05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'2022'!$B$80:$B$82</c:f>
            </c:strRef>
          </c:cat>
          <c:val>
            <c:numRef>
              <c:f>'2022'!$C$80:$C$82</c:f>
              <c:numCache/>
            </c:numRef>
          </c:val>
        </c:ser>
        <c:ser>
          <c:idx val="1"/>
          <c:order val="1"/>
          <c:cat>
            <c:strRef>
              <c:f>'2022'!$B$80:$B$82</c:f>
            </c:strRef>
          </c:cat>
          <c:val>
            <c:numRef>
              <c:f>'2022'!$D$80:$D$82</c:f>
              <c:numCache/>
            </c:numRef>
          </c:val>
        </c:ser>
        <c:ser>
          <c:idx val="2"/>
          <c:order val="2"/>
          <c:cat>
            <c:strRef>
              <c:f>'2022'!$B$80:$B$82</c:f>
            </c:strRef>
          </c:cat>
          <c:val>
            <c:numRef>
              <c:f>'2022'!$E$80:$E$82</c:f>
              <c:numCache/>
            </c:numRef>
          </c:val>
        </c:ser>
        <c:ser>
          <c:idx val="3"/>
          <c:order val="3"/>
          <c:cat>
            <c:strRef>
              <c:f>'2022'!$B$80:$B$82</c:f>
            </c:strRef>
          </c:cat>
          <c:val>
            <c:numRef>
              <c:f>'2022'!$F$80:$F$82</c:f>
              <c:numCache/>
            </c:numRef>
          </c:val>
        </c:ser>
        <c:ser>
          <c:idx val="4"/>
          <c:order val="4"/>
          <c:cat>
            <c:strRef>
              <c:f>'2022'!$B$80:$B$82</c:f>
            </c:strRef>
          </c:cat>
          <c:val>
            <c:numRef>
              <c:f>'2022'!$G$80:$G$82</c:f>
              <c:numCache/>
            </c:numRef>
          </c:val>
        </c:ser>
        <c:ser>
          <c:idx val="5"/>
          <c:order val="5"/>
          <c:cat>
            <c:strRef>
              <c:f>'2022'!$B$80:$B$82</c:f>
            </c:strRef>
          </c:cat>
          <c:val>
            <c:numRef>
              <c:f>'2022'!$H$80:$H$82</c:f>
              <c:numCache/>
            </c:numRef>
          </c:val>
        </c:ser>
        <c:ser>
          <c:idx val="6"/>
          <c:order val="6"/>
          <c:cat>
            <c:strRef>
              <c:f>'2022'!$B$80:$B$82</c:f>
            </c:strRef>
          </c:cat>
          <c:val>
            <c:numRef>
              <c:f>'2022'!$I$80:$I$82</c:f>
              <c:numCache/>
            </c:numRef>
          </c:val>
        </c:ser>
        <c:ser>
          <c:idx val="7"/>
          <c:order val="7"/>
          <c:cat>
            <c:strRef>
              <c:f>'2022'!$B$80:$B$82</c:f>
            </c:strRef>
          </c:cat>
          <c:val>
            <c:numRef>
              <c:f>'2022'!$J$80:$J$82</c:f>
              <c:numCache/>
            </c:numRef>
          </c:val>
        </c:ser>
        <c:ser>
          <c:idx val="8"/>
          <c:order val="8"/>
          <c:cat>
            <c:strRef>
              <c:f>'2022'!$B$80:$B$82</c:f>
            </c:strRef>
          </c:cat>
          <c:val>
            <c:numRef>
              <c:f>'2022'!$K$80:$K$82</c:f>
              <c:numCache/>
            </c:numRef>
          </c:val>
        </c:ser>
        <c:ser>
          <c:idx val="9"/>
          <c:order val="9"/>
          <c:cat>
            <c:strRef>
              <c:f>'2022'!$B$80:$B$82</c:f>
            </c:strRef>
          </c:cat>
          <c:val>
            <c:numRef>
              <c:f>'2022'!$L$80:$L$82</c:f>
              <c:numCache/>
            </c:numRef>
          </c:val>
        </c:ser>
        <c:ser>
          <c:idx val="10"/>
          <c:order val="10"/>
          <c:cat>
            <c:strRef>
              <c:f>'2022'!$B$80:$B$82</c:f>
            </c:strRef>
          </c:cat>
          <c:val>
            <c:numRef>
              <c:f>'2022'!$M$80:$M$82</c:f>
              <c:numCache/>
            </c:numRef>
          </c:val>
        </c:ser>
        <c:ser>
          <c:idx val="11"/>
          <c:order val="11"/>
          <c:cat>
            <c:strRef>
              <c:f>'2022'!$B$80:$B$82</c:f>
            </c:strRef>
          </c:cat>
          <c:val>
            <c:numRef>
              <c:f>'2022'!$N$80:$N$82</c:f>
              <c:numCache/>
            </c:numRef>
          </c:val>
        </c:ser>
        <c:overlap val="100"/>
        <c:axId val="10620572"/>
        <c:axId val="81488438"/>
      </c:barChart>
      <c:catAx>
        <c:axId val="106205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488438"/>
      </c:catAx>
      <c:valAx>
        <c:axId val="814884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205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spendings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'2022'!$C$65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'2022'!$C$66:$C$75</c:f>
              <c:numCache/>
            </c:numRef>
          </c:val>
        </c:ser>
        <c:ser>
          <c:idx val="1"/>
          <c:order val="1"/>
          <c:tx>
            <c:strRef>
              <c:f>'2022'!$D$65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'2022'!$D$66:$D$75</c:f>
              <c:numCache/>
            </c:numRef>
          </c:val>
        </c:ser>
        <c:ser>
          <c:idx val="2"/>
          <c:order val="2"/>
          <c:tx>
            <c:strRef>
              <c:f>'2022'!$E$65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'2022'!$E$66:$E$75</c:f>
              <c:numCache/>
            </c:numRef>
          </c:val>
        </c:ser>
        <c:ser>
          <c:idx val="3"/>
          <c:order val="3"/>
          <c:tx>
            <c:strRef>
              <c:f>'2022'!$F$65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'2022'!$F$66:$F$75</c:f>
              <c:numCache/>
            </c:numRef>
          </c:val>
        </c:ser>
        <c:ser>
          <c:idx val="4"/>
          <c:order val="4"/>
          <c:tx>
            <c:strRef>
              <c:f>'2022'!$G$65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'2022'!$G$66:$G$75</c:f>
              <c:numCache/>
            </c:numRef>
          </c:val>
        </c:ser>
        <c:ser>
          <c:idx val="5"/>
          <c:order val="5"/>
          <c:tx>
            <c:strRef>
              <c:f>'2022'!$H$65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'2022'!$H$66:$H$75</c:f>
              <c:numCache/>
            </c:numRef>
          </c:val>
        </c:ser>
        <c:ser>
          <c:idx val="6"/>
          <c:order val="6"/>
          <c:tx>
            <c:strRef>
              <c:f>'2022'!$I$65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'2022'!$I$66:$I$75</c:f>
              <c:numCache/>
            </c:numRef>
          </c:val>
        </c:ser>
        <c:ser>
          <c:idx val="7"/>
          <c:order val="7"/>
          <c:tx>
            <c:strRef>
              <c:f>'2022'!$J$65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'2022'!$J$66:$J$75</c:f>
              <c:numCache/>
            </c:numRef>
          </c:val>
        </c:ser>
        <c:ser>
          <c:idx val="8"/>
          <c:order val="8"/>
          <c:tx>
            <c:strRef>
              <c:f>'2022'!$K$65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'2022'!$K$66:$K$75</c:f>
              <c:numCache/>
            </c:numRef>
          </c:val>
        </c:ser>
        <c:ser>
          <c:idx val="9"/>
          <c:order val="9"/>
          <c:tx>
            <c:strRef>
              <c:f>'2022'!$L$65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'2022'!$L$66:$L$75</c:f>
              <c:numCache/>
            </c:numRef>
          </c:val>
        </c:ser>
        <c:ser>
          <c:idx val="10"/>
          <c:order val="10"/>
          <c:tx>
            <c:strRef>
              <c:f>'2022'!$M$65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'2022'!$M$66:$M$75</c:f>
              <c:numCache/>
            </c:numRef>
          </c:val>
        </c:ser>
        <c:ser>
          <c:idx val="11"/>
          <c:order val="11"/>
          <c:tx>
            <c:strRef>
              <c:f>'2022'!$N$65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'2022'!$C$5:$C$14</c:f>
            </c:strRef>
          </c:cat>
          <c:val>
            <c:numRef>
              <c:f>'2022'!$N$66:$N$75</c:f>
              <c:numCache/>
            </c:numRef>
          </c:val>
        </c:ser>
        <c:overlap val="100"/>
        <c:axId val="1017279626"/>
        <c:axId val="872539538"/>
      </c:barChart>
      <c:catAx>
        <c:axId val="1017279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2539538"/>
      </c:catAx>
      <c:valAx>
        <c:axId val="872539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7279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Monthly spendings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'2022'!$C$65:$N$65</c:f>
            </c:strRef>
          </c:cat>
          <c:val>
            <c:numRef>
              <c:f>'2022'!$C$77:$N$77</c:f>
              <c:numCache/>
            </c:numRef>
          </c:val>
        </c:ser>
        <c:axId val="637819886"/>
        <c:axId val="507784598"/>
      </c:bar3DChart>
      <c:catAx>
        <c:axId val="637819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07784598"/>
      </c:catAx>
      <c:valAx>
        <c:axId val="507784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37819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3F3F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gains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00FF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'2022'!$C$65:$N$65</c:f>
            </c:strRef>
          </c:cat>
          <c:val>
            <c:numRef>
              <c:f>'2022'!$C$78:$N$78</c:f>
              <c:numCache/>
            </c:numRef>
          </c:val>
        </c:ser>
        <c:axId val="962965328"/>
        <c:axId val="590245066"/>
      </c:bar3DChart>
      <c:catAx>
        <c:axId val="96296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0245066"/>
      </c:catAx>
      <c:valAx>
        <c:axId val="590245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965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Spendings by category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'2022'!$B$66:$B$75</c:f>
            </c:strRef>
          </c:cat>
          <c:val>
            <c:numRef>
              <c:f>'2022'!$O$66:$O$75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spPr>
            <a:solidFill>
              <a:srgbClr val="00B05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2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'2021'!$B$79:$B$81</c:f>
            </c:strRef>
          </c:cat>
          <c:val>
            <c:numRef>
              <c:f>'2021'!$C$79:$C$81</c:f>
              <c:numCache/>
            </c:numRef>
          </c:val>
        </c:ser>
        <c:ser>
          <c:idx val="1"/>
          <c:order val="1"/>
          <c:cat>
            <c:strRef>
              <c:f>'2021'!$B$79:$B$81</c:f>
            </c:strRef>
          </c:cat>
          <c:val>
            <c:numRef>
              <c:f>'2021'!$D$79:$D$81</c:f>
              <c:numCache/>
            </c:numRef>
          </c:val>
        </c:ser>
        <c:ser>
          <c:idx val="2"/>
          <c:order val="2"/>
          <c:cat>
            <c:strRef>
              <c:f>'2021'!$B$79:$B$81</c:f>
            </c:strRef>
          </c:cat>
          <c:val>
            <c:numRef>
              <c:f>'2021'!$E$79:$E$81</c:f>
              <c:numCache/>
            </c:numRef>
          </c:val>
        </c:ser>
        <c:ser>
          <c:idx val="3"/>
          <c:order val="3"/>
          <c:cat>
            <c:strRef>
              <c:f>'2021'!$B$79:$B$81</c:f>
            </c:strRef>
          </c:cat>
          <c:val>
            <c:numRef>
              <c:f>'2021'!$F$79:$F$81</c:f>
              <c:numCache/>
            </c:numRef>
          </c:val>
        </c:ser>
        <c:ser>
          <c:idx val="4"/>
          <c:order val="4"/>
          <c:cat>
            <c:strRef>
              <c:f>'2021'!$B$79:$B$81</c:f>
            </c:strRef>
          </c:cat>
          <c:val>
            <c:numRef>
              <c:f>'2021'!$G$79:$G$81</c:f>
              <c:numCache/>
            </c:numRef>
          </c:val>
        </c:ser>
        <c:ser>
          <c:idx val="5"/>
          <c:order val="5"/>
          <c:cat>
            <c:strRef>
              <c:f>'2021'!$B$79:$B$81</c:f>
            </c:strRef>
          </c:cat>
          <c:val>
            <c:numRef>
              <c:f>'2021'!$H$79:$H$81</c:f>
              <c:numCache/>
            </c:numRef>
          </c:val>
        </c:ser>
        <c:ser>
          <c:idx val="6"/>
          <c:order val="6"/>
          <c:cat>
            <c:strRef>
              <c:f>'2021'!$B$79:$B$81</c:f>
            </c:strRef>
          </c:cat>
          <c:val>
            <c:numRef>
              <c:f>'2021'!$I$79:$I$81</c:f>
              <c:numCache/>
            </c:numRef>
          </c:val>
        </c:ser>
        <c:ser>
          <c:idx val="7"/>
          <c:order val="7"/>
          <c:cat>
            <c:strRef>
              <c:f>'2021'!$B$79:$B$81</c:f>
            </c:strRef>
          </c:cat>
          <c:val>
            <c:numRef>
              <c:f>'2021'!$J$79:$J$81</c:f>
              <c:numCache/>
            </c:numRef>
          </c:val>
        </c:ser>
        <c:ser>
          <c:idx val="8"/>
          <c:order val="8"/>
          <c:cat>
            <c:strRef>
              <c:f>'2021'!$B$79:$B$81</c:f>
            </c:strRef>
          </c:cat>
          <c:val>
            <c:numRef>
              <c:f>'2021'!$K$79:$K$81</c:f>
              <c:numCache/>
            </c:numRef>
          </c:val>
        </c:ser>
        <c:ser>
          <c:idx val="9"/>
          <c:order val="9"/>
          <c:cat>
            <c:strRef>
              <c:f>'2021'!$B$79:$B$81</c:f>
            </c:strRef>
          </c:cat>
          <c:val>
            <c:numRef>
              <c:f>'2021'!$L$79:$L$81</c:f>
              <c:numCache/>
            </c:numRef>
          </c:val>
        </c:ser>
        <c:ser>
          <c:idx val="10"/>
          <c:order val="10"/>
          <c:cat>
            <c:strRef>
              <c:f>'2021'!$B$79:$B$81</c:f>
            </c:strRef>
          </c:cat>
          <c:val>
            <c:numRef>
              <c:f>'2021'!$M$79:$M$81</c:f>
              <c:numCache/>
            </c:numRef>
          </c:val>
        </c:ser>
        <c:ser>
          <c:idx val="11"/>
          <c:order val="11"/>
          <c:cat>
            <c:strRef>
              <c:f>'2021'!$B$79:$B$81</c:f>
            </c:strRef>
          </c:cat>
          <c:val>
            <c:numRef>
              <c:f>'2021'!$N$79:$N$81</c:f>
              <c:numCache/>
            </c:numRef>
          </c:val>
        </c:ser>
        <c:overlap val="100"/>
        <c:axId val="429826958"/>
        <c:axId val="169900750"/>
      </c:barChart>
      <c:catAx>
        <c:axId val="4298269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900750"/>
      </c:catAx>
      <c:valAx>
        <c:axId val="1699007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98269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spendings by category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'2021'!$C$64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'2021'!$C$65:$C$74</c:f>
              <c:numCache/>
            </c:numRef>
          </c:val>
        </c:ser>
        <c:ser>
          <c:idx val="1"/>
          <c:order val="1"/>
          <c:tx>
            <c:strRef>
              <c:f>'2021'!$D$64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'2021'!$D$65:$D$74</c:f>
              <c:numCache/>
            </c:numRef>
          </c:val>
        </c:ser>
        <c:ser>
          <c:idx val="2"/>
          <c:order val="2"/>
          <c:tx>
            <c:strRef>
              <c:f>'2021'!$E$64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'2021'!$E$65:$E$74</c:f>
              <c:numCache/>
            </c:numRef>
          </c:val>
        </c:ser>
        <c:ser>
          <c:idx val="3"/>
          <c:order val="3"/>
          <c:tx>
            <c:strRef>
              <c:f>'2021'!$F$64</c:f>
            </c:strRef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'2021'!$F$65:$F$74</c:f>
              <c:numCache/>
            </c:numRef>
          </c:val>
        </c:ser>
        <c:ser>
          <c:idx val="4"/>
          <c:order val="4"/>
          <c:tx>
            <c:strRef>
              <c:f>'2021'!$G$64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'2021'!$G$65:$G$74</c:f>
              <c:numCache/>
            </c:numRef>
          </c:val>
        </c:ser>
        <c:ser>
          <c:idx val="5"/>
          <c:order val="5"/>
          <c:tx>
            <c:strRef>
              <c:f>'2021'!$H$64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'2021'!$H$65:$H$74</c:f>
              <c:numCache/>
            </c:numRef>
          </c:val>
        </c:ser>
        <c:ser>
          <c:idx val="6"/>
          <c:order val="6"/>
          <c:tx>
            <c:strRef>
              <c:f>'2021'!$I$64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'2021'!$I$65:$I$74</c:f>
              <c:numCache/>
            </c:numRef>
          </c:val>
        </c:ser>
        <c:ser>
          <c:idx val="7"/>
          <c:order val="7"/>
          <c:tx>
            <c:strRef>
              <c:f>'2021'!$J$64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'2021'!$J$65:$J$74</c:f>
              <c:numCache/>
            </c:numRef>
          </c:val>
        </c:ser>
        <c:ser>
          <c:idx val="8"/>
          <c:order val="8"/>
          <c:tx>
            <c:strRef>
              <c:f>'2021'!$K$64</c:f>
            </c:strRef>
          </c:tx>
          <c:spPr>
            <a:solidFill>
              <a:schemeClr val="accent3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'2021'!$K$65:$K$74</c:f>
              <c:numCache/>
            </c:numRef>
          </c:val>
        </c:ser>
        <c:ser>
          <c:idx val="9"/>
          <c:order val="9"/>
          <c:tx>
            <c:strRef>
              <c:f>'2021'!$L$64</c:f>
            </c:strRef>
          </c:tx>
          <c:spPr>
            <a:solidFill>
              <a:schemeClr val="accent4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'2021'!$L$65:$L$74</c:f>
              <c:numCache/>
            </c:numRef>
          </c:val>
        </c:ser>
        <c:ser>
          <c:idx val="10"/>
          <c:order val="10"/>
          <c:tx>
            <c:strRef>
              <c:f>'2021'!$M$64</c:f>
            </c:strRef>
          </c:tx>
          <c:spPr>
            <a:solidFill>
              <a:schemeClr val="accent5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'2021'!$M$65:$M$74</c:f>
              <c:numCache/>
            </c:numRef>
          </c:val>
        </c:ser>
        <c:ser>
          <c:idx val="11"/>
          <c:order val="11"/>
          <c:tx>
            <c:strRef>
              <c:f>'2021'!$N$64</c:f>
            </c:strRef>
          </c:tx>
          <c:spPr>
            <a:solidFill>
              <a:schemeClr val="accent6">
                <a:lumOff val="30000"/>
              </a:schemeClr>
            </a:solidFill>
            <a:ln cmpd="sng">
              <a:noFill/>
            </a:ln>
          </c:spPr>
          <c:cat>
            <c:strRef>
              <c:f>'2021'!$C$5:$C$14</c:f>
            </c:strRef>
          </c:cat>
          <c:val>
            <c:numRef>
              <c:f>'2021'!$N$65:$N$74</c:f>
              <c:numCache/>
            </c:numRef>
          </c:val>
        </c:ser>
        <c:overlap val="100"/>
        <c:axId val="6699938"/>
        <c:axId val="456029807"/>
      </c:barChart>
      <c:catAx>
        <c:axId val="6699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029807"/>
      </c:catAx>
      <c:valAx>
        <c:axId val="456029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9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Roboto"/>
              </a:defRPr>
            </a:pPr>
            <a:r>
              <a:rPr b="1">
                <a:solidFill>
                  <a:srgbClr val="757575"/>
                </a:solidFill>
                <a:latin typeface="Roboto"/>
              </a:rPr>
              <a:t>Monthly spendings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FF0000"/>
            </a:solidFill>
            <a:ln cmpd="sng">
              <a:noFill/>
              <a:prstDash val="sysDot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00FF00">
                    <a:alpha val="8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'2021'!$C$64:$N$64</c:f>
            </c:strRef>
          </c:cat>
          <c:val>
            <c:numRef>
              <c:f>'2021'!$C$76:$N$76</c:f>
              <c:numCache/>
            </c:numRef>
          </c:val>
        </c:ser>
        <c:axId val="1603496226"/>
        <c:axId val="1005114460"/>
      </c:bar3DChart>
      <c:catAx>
        <c:axId val="1603496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05114460"/>
      </c:catAx>
      <c:valAx>
        <c:axId val="1005114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03496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3F3F3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Monthly gains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stacked"/>
        <c:ser>
          <c:idx val="0"/>
          <c:order val="0"/>
          <c:spPr>
            <a:solidFill>
              <a:srgbClr val="00FF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38100">
                <a:solidFill>
                  <a:srgbClr val="FF0000">
                    <a:alpha val="80000"/>
                  </a:srgbClr>
                </a:solidFill>
              </a:ln>
            </c:spPr>
            <c:trendlineType val="exp"/>
            <c:dispRSqr val="0"/>
            <c:dispEq val="0"/>
          </c:trendline>
          <c:cat>
            <c:strRef>
              <c:f>'2021'!$C$64:$N$64</c:f>
            </c:strRef>
          </c:cat>
          <c:val>
            <c:numRef>
              <c:f>'2021'!$C$77:$N$77</c:f>
              <c:numCache/>
            </c:numRef>
          </c:val>
        </c:ser>
        <c:axId val="2107110716"/>
        <c:axId val="2016313035"/>
      </c:bar3DChart>
      <c:catAx>
        <c:axId val="21071107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313035"/>
      </c:catAx>
      <c:valAx>
        <c:axId val="20163130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71107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Spendings by category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0"/>
          <c:w val="1.0"/>
          <c:h val="1.0"/>
        </c:manualLayout>
      </c:layout>
      <c:doughnutChart>
        <c:varyColors val="1"/>
        <c:ser>
          <c:idx val="0"/>
          <c:order val="0"/>
          <c:dPt>
            <c:idx val="0"/>
            <c:explosion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'2021'!$B$65:$B$74</c:f>
            </c:strRef>
          </c:cat>
          <c:val>
            <c:numRef>
              <c:f>'2021'!$O$65:$O$73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Current Share Portfolio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99999"/>
              </a:solidFill>
            </c:spPr>
          </c:dPt>
          <c:dPt>
            <c:idx val="1"/>
            <c:explosion val="0"/>
            <c:spPr>
              <a:solidFill>
                <a:srgbClr val="00FF00"/>
              </a:solidFill>
            </c:spPr>
          </c:dPt>
          <c:dPt>
            <c:idx val="2"/>
            <c:spPr>
              <a:solidFill>
                <a:srgbClr val="4A86E8"/>
              </a:solidFill>
            </c:spPr>
          </c:dPt>
          <c:dPt>
            <c:idx val="3"/>
            <c:spPr>
              <a:solidFill>
                <a:srgbClr val="00FF00"/>
              </a:solidFill>
            </c:spPr>
          </c:dPt>
          <c:dPt>
            <c:idx val="4"/>
            <c:spPr>
              <a:solidFill>
                <a:srgbClr val="FF0000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8CB9E2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  <c:spPr>
              <a:solidFill>
                <a:srgbClr val="C0C0C0"/>
              </a:solidFill>
            </c:spPr>
          </c:dPt>
          <c:dPt>
            <c:idx val="9"/>
            <c:spPr>
              <a:solidFill>
                <a:srgbClr val="FFD34D"/>
              </a:solidFill>
            </c:spPr>
          </c:dPt>
          <c:dLbls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Investments!$H$5:$H$16</c:f>
            </c:strRef>
          </c:cat>
          <c:val>
            <c:numRef>
              <c:f>Investments!$P$5:$P$14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rgbClr val="D9D9D9"/>
            </a:solidFill>
            <a:ln cmpd="sng">
              <a:noFill/>
            </a:ln>
          </c:spPr>
          <c:dPt>
            <c:idx val="0"/>
            <c:spPr>
              <a:solidFill>
                <a:srgbClr val="666666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2D050"/>
              </a:solidFill>
              <a:ln cmpd="sng">
                <a:noFill/>
              </a:ln>
            </c:spPr>
          </c:dPt>
          <c:dPt>
            <c:idx val="2"/>
            <c:spPr>
              <a:solidFill>
                <a:schemeClr val="accent1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C0000"/>
              </a:solidFill>
              <a:ln cmpd="sng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Courier Ne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Investments!$H$5:$H$16</c:f>
            </c:strRef>
          </c:cat>
          <c:val>
            <c:numRef>
              <c:f>Investments!$M$5:$M$14</c:f>
              <c:numCache/>
            </c:numRef>
          </c:val>
        </c:ser>
        <c:overlap val="100"/>
        <c:axId val="1227239068"/>
        <c:axId val="1071349344"/>
      </c:barChart>
      <c:catAx>
        <c:axId val="1227239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400">
                <a:solidFill>
                  <a:srgbClr val="000000"/>
                </a:solidFill>
                <a:latin typeface="Courier New"/>
              </a:defRPr>
            </a:pPr>
          </a:p>
        </c:txPr>
        <c:crossAx val="1071349344"/>
      </c:catAx>
      <c:valAx>
        <c:axId val="1071349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239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 w="19050">
              <a:solidFill>
                <a:srgbClr val="00B050">
                  <a:alpha val="100000"/>
                </a:srgbClr>
              </a:solidFill>
              <a:prstDash val="dash"/>
            </a:ln>
          </c:spPr>
          <c:marker>
            <c:symbol val="circle"/>
            <c:size val="10"/>
            <c:spPr>
              <a:solidFill>
                <a:srgbClr val="00B050">
                  <a:alpha val="100000"/>
                </a:srgbClr>
              </a:solidFill>
              <a:ln cmpd="sng">
                <a:solidFill>
                  <a:srgbClr val="00B050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 b="0">
                    <a:latin typeface="Courier New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Investments!$U$28:$AF$28</c:f>
            </c:strRef>
          </c:cat>
          <c:val>
            <c:numRef>
              <c:f>Investments!$U$25:$AF$25</c:f>
              <c:numCache/>
            </c:numRef>
          </c:val>
          <c:smooth val="0"/>
        </c:ser>
        <c:ser>
          <c:idx val="1"/>
          <c:order val="1"/>
          <c:spPr>
            <a:ln cmpd="sng" w="19050">
              <a:solidFill>
                <a:srgbClr val="6D9EEB">
                  <a:alpha val="100000"/>
                </a:srgbClr>
              </a:solidFill>
              <a:prstDash val="lgDash"/>
            </a:ln>
          </c:spPr>
          <c:marker>
            <c:symbol val="circle"/>
            <c:size val="7"/>
            <c:spPr>
              <a:solidFill>
                <a:srgbClr val="6D9EEB">
                  <a:alpha val="100000"/>
                </a:srgbClr>
              </a:solidFill>
              <a:ln cmpd="sng">
                <a:solidFill>
                  <a:srgbClr val="6D9EEB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cat>
            <c:strRef>
              <c:f>Investments!$U$28:$AF$28</c:f>
            </c:strRef>
          </c:cat>
          <c:val>
            <c:numRef>
              <c:f>Investments!$U$24:$AF$24</c:f>
              <c:numCache/>
            </c:numRef>
          </c:val>
          <c:smooth val="0"/>
        </c:ser>
        <c:axId val="107283850"/>
        <c:axId val="716804117"/>
      </c:lineChart>
      <c:catAx>
        <c:axId val="1072838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6804117"/>
      </c:catAx>
      <c:valAx>
        <c:axId val="716804117"/>
        <c:scaling>
          <c:orientation val="minMax"/>
          <c:max val="20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€]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283850"/>
      </c:valAx>
    </c:plotArea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Relationship Id="rId3" Type="http://schemas.openxmlformats.org/officeDocument/2006/relationships/chart" Target="../charts/chart13.xml"/><Relationship Id="rId4" Type="http://schemas.openxmlformats.org/officeDocument/2006/relationships/chart" Target="../charts/chart14.xml"/><Relationship Id="rId5" Type="http://schemas.openxmlformats.org/officeDocument/2006/relationships/chart" Target="../charts/chart1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348</xdr:row>
      <xdr:rowOff>28575</xdr:rowOff>
    </xdr:from>
    <xdr:ext cx="76676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47625</xdr:colOff>
      <xdr:row>348</xdr:row>
      <xdr:rowOff>28575</xdr:rowOff>
    </xdr:from>
    <xdr:ext cx="591502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152400</xdr:colOff>
      <xdr:row>368</xdr:row>
      <xdr:rowOff>152400</xdr:rowOff>
    </xdr:from>
    <xdr:ext cx="9829800" cy="4133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1495425</xdr:colOff>
      <xdr:row>368</xdr:row>
      <xdr:rowOff>152400</xdr:rowOff>
    </xdr:from>
    <xdr:ext cx="5438775" cy="4076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762000</xdr:colOff>
      <xdr:row>369</xdr:row>
      <xdr:rowOff>114300</xdr:rowOff>
    </xdr:from>
    <xdr:ext cx="9372600" cy="51149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101</xdr:row>
      <xdr:rowOff>152400</xdr:rowOff>
    </xdr:from>
    <xdr:ext cx="5124450" cy="2828925"/>
    <xdr:graphicFrame>
      <xdr:nvGraphicFramePr>
        <xdr:cNvPr id="6" name="Chart 6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83</xdr:row>
      <xdr:rowOff>57150</xdr:rowOff>
    </xdr:from>
    <xdr:ext cx="10001250" cy="3419475"/>
    <xdr:graphicFrame>
      <xdr:nvGraphicFramePr>
        <xdr:cNvPr id="7" name="Chart 7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1085850</xdr:colOff>
      <xdr:row>102</xdr:row>
      <xdr:rowOff>9525</xdr:rowOff>
    </xdr:from>
    <xdr:ext cx="3800475" cy="2352675"/>
    <xdr:graphicFrame>
      <xdr:nvGraphicFramePr>
        <xdr:cNvPr id="8" name="Chart 8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304800</xdr:colOff>
      <xdr:row>102</xdr:row>
      <xdr:rowOff>85725</xdr:rowOff>
    </xdr:from>
    <xdr:ext cx="3724275" cy="2343150"/>
    <xdr:graphicFrame>
      <xdr:nvGraphicFramePr>
        <xdr:cNvPr id="9" name="Chart 9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419100</xdr:colOff>
      <xdr:row>69</xdr:row>
      <xdr:rowOff>161925</xdr:rowOff>
    </xdr:from>
    <xdr:ext cx="5353050" cy="6115050"/>
    <xdr:graphicFrame>
      <xdr:nvGraphicFramePr>
        <xdr:cNvPr id="10" name="Chart 10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100</xdr:row>
      <xdr:rowOff>152400</xdr:rowOff>
    </xdr:from>
    <xdr:ext cx="5124450" cy="2828925"/>
    <xdr:graphicFrame>
      <xdr:nvGraphicFramePr>
        <xdr:cNvPr id="11" name="Chart 11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76200</xdr:colOff>
      <xdr:row>82</xdr:row>
      <xdr:rowOff>57150</xdr:rowOff>
    </xdr:from>
    <xdr:ext cx="10001250" cy="3419475"/>
    <xdr:graphicFrame>
      <xdr:nvGraphicFramePr>
        <xdr:cNvPr id="12" name="Chart 12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1247775</xdr:colOff>
      <xdr:row>101</xdr:row>
      <xdr:rowOff>85725</xdr:rowOff>
    </xdr:from>
    <xdr:ext cx="3800475" cy="2352675"/>
    <xdr:graphicFrame>
      <xdr:nvGraphicFramePr>
        <xdr:cNvPr id="13" name="Chart 13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304800</xdr:colOff>
      <xdr:row>101</xdr:row>
      <xdr:rowOff>85725</xdr:rowOff>
    </xdr:from>
    <xdr:ext cx="3724275" cy="2343150"/>
    <xdr:graphicFrame>
      <xdr:nvGraphicFramePr>
        <xdr:cNvPr id="14" name="Chart 14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419100</xdr:colOff>
      <xdr:row>68</xdr:row>
      <xdr:rowOff>161925</xdr:rowOff>
    </xdr:from>
    <xdr:ext cx="3371850" cy="6115050"/>
    <xdr:graphicFrame>
      <xdr:nvGraphicFramePr>
        <xdr:cNvPr id="15" name="Chart 15" title="Grafik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28575</xdr:colOff>
      <xdr:row>1</xdr:row>
      <xdr:rowOff>133350</xdr:rowOff>
    </xdr:from>
    <xdr:ext cx="4629150" cy="286702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21</xdr:row>
      <xdr:rowOff>171450</xdr:rowOff>
    </xdr:from>
    <xdr:ext cx="4629150" cy="28670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428625</xdr:colOff>
      <xdr:row>21</xdr:row>
      <xdr:rowOff>171450</xdr:rowOff>
    </xdr:from>
    <xdr:ext cx="786765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Ervin Dobri" id="{2820c81d-914d-4a4b-88a0-cab09cabfe57}" providerId="google-sheets"/>
  <x18tc:person displayName="Ervin Dobri" id="{9c0aebe9-b29b-46bc-824b-5c102ff6f9db}" providerId="google-sheets"/>
</x18tc:personList>
</file>

<file path=xl/tables/table1.xml><?xml version="1.0" encoding="utf-8"?>
<table xmlns="http://schemas.openxmlformats.org/spreadsheetml/2006/main" headerRowCount="0" ref="U34:AM42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Investmen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1:R49" displayName="Table_2" name="Table_2" id="2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Investment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61" dT="2026-07-08T12:45:31.00" personId="{9c0aebe9-b29b-46bc-824b-5c102ff6f9db}" id="{5981ea20-20f9-4bd0-8667-d42c1a0b31c7}" done="0">
    <x18tc:text xml:space="preserve">Casamento stuff - 51k</x18tc:text>
  </x18tc:threadedComment>
  <x18tc:threadedComment ref="K19" dT="2026-02-08T19:29:05.00" personId="{9c0aebe9-b29b-46bc-824b-5c102ff6f9db}" id="{fde72750-7507-464e-9339-bdba7cfc9e59}" done="0">
    <x18tc:text xml:space="preserve">150k mom gift</x18tc:text>
  </x18tc:threadedComment>
  <x18tc:threadedComment ref="G98" dT="2026-04-14T13:02:04.00" personId="{9c0aebe9-b29b-46bc-824b-5c102ff6f9db}" id="{2d884e2d-de8a-4e7e-abfa-18b1e875add9}" done="0">
    <x18tc:text xml:space="preserve">weights for lifting</x18tc:text>
  </x18tc:threadedComment>
  <x18tc:threadedComment ref="G26" dT="2026-01-12T13:46:18.00" personId="{9c0aebe9-b29b-46bc-824b-5c102ff6f9db}" id="{9ab4a3df-7a0e-4081-ae1c-28c6229f8cd0}" done="0">
    <x18tc:text xml:space="preserve">Ana Paula - installment for BR trip</x18tc:text>
  </x18tc:threadedComment>
  <x18tc:threadedComment ref="A1" dT="2026-04-14T13:00:00.00" personId="{9c0aebe9-b29b-46bc-824b-5c102ff6f9db}" id="{4826de1d-f329-4561-9050-8c02747b0231}" done="0">
    <x18tc:text xml:space="preserve">churrasco - 4727</x18tc:text>
  </x18tc:threadedComment>
  <x18tc:threadedComment ref="G105" dT="2026-04-14T12:58:13.00" personId="{9c0aebe9-b29b-46bc-824b-5c102ff6f9db}" id="{35a6f3dc-bfe4-4952-ad3f-51513489fedb}" done="0">
    <x18tc:text xml:space="preserve">monitor GLS</x18tc:text>
  </x18tc:threadedComment>
  <x18tc:threadedComment ref="I72" dT="2026-04-07T10:41:21.00" personId="{9c0aebe9-b29b-46bc-824b-5c102ff6f9db}" id="{471e3639-ba7e-421b-a941-5cc411fa5025}" done="0">
    <x18tc:text xml:space="preserve">vacation Morocco</x18tc:text>
  </x18tc:threadedComment>
  <x18tc:threadedComment ref="M77" dT="2026-04-14T12:55:06.00" personId="{9c0aebe9-b29b-46bc-824b-5c102ff6f9db}" id="{a44f08fc-6641-4ff8-954f-9863c2eaae2e}" done="0">
    <x18tc:text xml:space="preserve">bojler maintenance</x18tc:text>
  </x18tc:threadedComment>
  <x18tc:threadedComment ref="G19" dT="2026-02-08T19:28:58.00" personId="{9c0aebe9-b29b-46bc-824b-5c102ff6f9db}" id="{6d962fa3-66f9-4b33-839d-4de0e64fbd44}" done="0">
    <x18tc:text xml:space="preserve">mom gift</x18tc:text>
  </x18tc:threadedComment>
  <x18tc:threadedComment ref="A1" dT="2023-07-22T16:44:37.00" personId="{9c0aebe9-b29b-46bc-824b-5c102ff6f9db}" id="{c25fe7c4-8b14-4c9b-9632-f2940d297c96}" done="0">
    <x18tc:text xml:space="preserve">VAJ</x18tc:text>
  </x18tc:threadedComment>
  <x18tc:threadedComment ref="G47" dT="2026-02-23T17:09:19.00" personId="{9c0aebe9-b29b-46bc-824b-5c102ff6f9db}" id="{c9b1a7f0-b9e3-428b-b823-296708796c30}" done="0">
    <x18tc:text xml:space="preserve">Mom gift</x18tc:text>
  </x18tc:threadedComment>
  <x18tc:threadedComment ref="K126" dT="2026-06-06T13:29:26.00" personId="{9c0aebe9-b29b-46bc-824b-5c102ff6f9db}" id="{6923594b-5ce0-43a5-96a4-75b7cde65451}" done="0">
    <x18tc:text xml:space="preserve">pull up bar</x18tc:text>
  </x18tc:threadedComment>
  <x18tc:threadedComment ref="I44" dT="2026-02-23T17:12:29.00" personId="{9c0aebe9-b29b-46bc-824b-5c102ff6f9db}" id="{e03da9c3-7696-444b-9f4e-5142e5a5dda4}" done="0">
    <x18tc:text xml:space="preserve">Valentines Eger</x18tc:text>
  </x18tc:threadedComment>
  <x18tc:threadedComment ref="I125" dT="2026-05-21T13:44:28.00" personId="{9c0aebe9-b29b-46bc-824b-5c102ff6f9db}" id="{6371365c-72d8-44a4-9496-39298d40be18}" done="0">
    <x18tc:text xml:space="preserve">returned parkside drill</x18tc:text>
  </x18tc:threadedComment>
  <x18tc:threadedComment ref="I132" dT="2026-05-21T13:46:42.00" personId="{9c0aebe9-b29b-46bc-824b-5c102ff6f9db}" id="{d47944c2-2802-441b-9d56-1d2364edf283}" done="0">
    <x18tc:text xml:space="preserve">SZIGET friday</x18tc:text>
  </x18tc:threadedComment>
  <x18tc:threadedComment ref="I126" dT="2026-05-21T13:47:14.00" personId="{9c0aebe9-b29b-46bc-824b-5c102ff6f9db}" id="{25040c3f-3346-4254-8c39-3172448caf9d}" done="0">
    <x18tc:text xml:space="preserve">haircut</x18tc:text>
  </x18tc:threadedComment>
  <x18tc:threadedComment ref="K69" dT="2026-04-14T08:46:46.00" personId="{9c0aebe9-b29b-46bc-824b-5c102ff6f9db}" id="{39306e89-a7aa-4127-837c-e926a1f7b973}" done="0">
    <x18tc:text xml:space="preserve">Google TV stick 15k</x18tc:text>
  </x18tc:threadedComment>
  <x18tc:threadedComment ref="G51" dT="2026-02-26T14:38:01.00" personId="{9c0aebe9-b29b-46bc-824b-5c102ff6f9db}" id="{e485885e-8251-4ab9-9af4-613701283916}" done="0">
    <x18tc:text xml:space="preserve">FREELANCE - 4000 RON CARDIO VITALITY</x18tc:text>
  </x18tc:threadedComment>
  <x18tc:threadedComment ref="Q159" dT="2026-07-08T12:48:07.00" personId="{9c0aebe9-b29b-46bc-824b-5c102ff6f9db}" id="{07ff35cb-1cc2-4125-b52a-d4ae5674009b}" done="0">
    <x18tc:text xml:space="preserve">to mom</x18tc:text>
  </x18tc:threadedComment>
  <x18tc:threadedComment ref="E75" dT="2026-04-14T08:40:37.00" personId="{9c0aebe9-b29b-46bc-824b-5c102ff6f9db}" id="{11e93f71-d383-4dbf-8b33-9818c9ff855d}" done="0">
    <x18tc:text xml:space="preserve">8k SSD-re Botinak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324" dT="2025-12-28T20:02:51.00" personId="{9c0aebe9-b29b-46bc-824b-5c102ff6f9db}" id="{6ee490ce-c8e2-43c3-af48-d4723d9b84b2}" done="0">
    <x18tc:text xml:space="preserve">taxi to hospital 6:49</x18tc:text>
  </x18tc:threadedComment>
  <x18tc:threadedComment ref="G131" dT="2025-05-12T15:42:23.00" personId="{9c0aebe9-b29b-46bc-824b-5c102ff6f9db}" id="{687aa398-350f-43b8-a089-93ae84728aa5}" done="0">
    <x18tc:text xml:space="preserve">gift to mom</x18tc:text>
  </x18tc:threadedComment>
  <x18tc:threadedComment ref="I165" dT="2025-06-19T14:01:26.00" personId="{9c0aebe9-b29b-46bc-824b-5c102ff6f9db}" id="{b756b370-5384-4b26-b700-642b84c7998e}" done="0">
    <x18tc:text xml:space="preserve">RTX 4060</x18tc:text>
  </x18tc:threadedComment>
  <x18tc:threadedComment ref="G243" dT="2025-09-19T08:37:25.00" personId="{9c0aebe9-b29b-46bc-824b-5c102ff6f9db}" id="{054cd2f9-ea62-406c-a8d6-15b2646153e2}" done="0">
    <x18tc:text xml:space="preserve">KENDRICK SAO PAULO PORRA</x18tc:text>
  </x18tc:threadedComment>
  <x18tc:threadedComment ref="I242" dT="2025-09-19T08:39:25.00" personId="{9c0aebe9-b29b-46bc-824b-5c102ff6f9db}" id="{a2376051-746a-4583-879c-c2a4e00751a7}" done="0">
    <x18tc:text xml:space="preserve">mom gift</x18tc:text>
  </x18tc:threadedComment>
  <x18tc:threadedComment ref="M72" dT="2025-04-02T17:16:58.00" personId="{9c0aebe9-b29b-46bc-824b-5c102ff6f9db}" id="{d0f68174-8e40-47d7-8ec2-c7b44e61097a}" done="0">
    <x18tc:text xml:space="preserve">vacation Rome</x18tc:text>
  </x18tc:threadedComment>
  <x18tc:threadedComment ref="K75" dT="2025-04-02T17:16:18.00" personId="{9c0aebe9-b29b-46bc-824b-5c102ff6f9db}" id="{68c8cd92-4bdc-4996-a312-65f8cda87bad}" done="0">
    <x18tc:text xml:space="preserve">gift to mom</x18tc:text>
  </x18tc:threadedComment>
  <x18tc:threadedComment ref="G98" dT="2025-04-13T10:13:26.00" personId="{9c0aebe9-b29b-46bc-824b-5c102ff6f9db}" id="{7d81afc6-e7a4-40e5-ba21-81462cbdd1f3}" done="0">
    <x18tc:text xml:space="preserve">massage</x18tc:text>
  </x18tc:threadedComment>
  <x18tc:threadedComment ref="I210" dT="2025-08-24T19:13:27.00" personId="{9c0aebe9-b29b-46bc-824b-5c102ff6f9db}" id="{248a9a65-fcc5-4e10-9d3b-a500353c3acd}" done="0">
    <x18tc:text xml:space="preserve">shein clothes</x18tc:text>
  </x18tc:threadedComment>
  <x18tc:threadedComment ref="G16" dT="2025-01-25T13:36:50.00" personId="{9c0aebe9-b29b-46bc-824b-5c102ff6f9db}" id="{ecde64cc-c7bb-4227-9bbb-852e3f8e70cd}" done="0">
    <x18tc:text xml:space="preserve">airplane ickets to BRASOV</x18tc:text>
  </x18tc:threadedComment>
  <x18tc:threadedComment ref="G176" dT="2025-07-13T19:20:35.00" personId="{9c0aebe9-b29b-46bc-824b-5c102ff6f9db}" id="{24cabacc-4901-4853-bba8-2f488bf4fca6}" done="0">
    <x18tc:text xml:space="preserve">interfood - 6345</x18tc:text>
  </x18tc:threadedComment>
  <x18tc:threadedComment ref="I8" dT="2025-01-25T13:38:53.00" personId="{9c0aebe9-b29b-46bc-824b-5c102ff6f9db}" id="{326e26a9-33d3-4a84-99de-e5068b637779}" done="0">
    <x18tc:text xml:space="preserve">rent overhead back to AnaP</x18tc:text>
  </x18tc:threadedComment>
  <x18tc:threadedComment ref="E182" dT="2025-07-13T19:15:38.00" personId="{9c0aebe9-b29b-46bc-824b-5c102ff6f9db}" id="{6000afd4-fb45-4ddd-b8e0-1b49d283c2e7}" done="0">
    <x18tc:text xml:space="preserve">Barca jersey &lt;3</x18tc:text>
  </x18tc:threadedComment>
  <x18tc:threadedComment ref="I19" dT="2025-01-25T13:39:19.00" personId="{9c0aebe9-b29b-46bc-824b-5c102ff6f9db}" id="{7ff64b0c-d7c1-487e-a171-3f9039998ba4}" done="0">
    <x18tc:text xml:space="preserve">Gift to Ana's Mom</x18tc:text>
  </x18tc:threadedComment>
  <x18tc:threadedComment ref="I19" dT="2025-01-25T13:42:05.00" personId="{9c0aebe9-b29b-46bc-824b-5c102ff6f9db}" id="{35868979-7d0b-4ced-a025-0377eb7e838a}" parentId="{7ff64b0c-d7c1-487e-a171-3f9039998ba4}">
    <x18tc:text xml:space="preserve">Gift to Mom - cancelled</x18tc:text>
  </x18tc:threadedComment>
  <x18tc:threadedComment ref="I19" dT="2025-01-25T13:42:26.00" personId="{9c0aebe9-b29b-46bc-824b-5c102ff6f9db}" id="{e0ff49c9-a09e-4c6b-91b9-b6848e43bf24}" parentId="{7ff64b0c-d7c1-487e-a171-3f9039998ba4}">
    <x18tc:text xml:space="preserve">Gift to Mom</x18tc:text>
  </x18tc:threadedComment>
  <x18tc:threadedComment ref="G186" dT="2025-07-13T19:20:06.00" personId="{9c0aebe9-b29b-46bc-824b-5c102ff6f9db}" id="{028a62a6-aec7-45b0-b868-904eeb40fbfd}" done="0">
    <x18tc:text xml:space="preserve">mom gift</x18tc:text>
  </x18tc:threadedComment>
  <x18tc:threadedComment ref="E75" dT="2025-03-17T17:43:12.00" personId="{9c0aebe9-b29b-46bc-824b-5c102ff6f9db}" id="{8af82059-d77a-463c-99a0-c5a13d3d44bf}" done="0">
    <x18tc:text xml:space="preserve">mom bd gift</x18tc:text>
  </x18tc:threadedComment>
  <x18tc:threadedComment ref="G76" dT="2025-03-17T17:49:17.00" personId="{9c0aebe9-b29b-46bc-824b-5c102ff6f9db}" id="{a43e6b55-1488-4ad8-b07f-c9c75e3b7c23}" done="0">
    <x18tc:text xml:space="preserve">The four owls concert</x18tc:text>
  </x18tc:threadedComment>
  <x18tc:threadedComment ref="I289" dT="2025-11-19T10:27:19.00" personId="{9c0aebe9-b29b-46bc-824b-5c102ff6f9db}" id="{8a969777-2a7c-4435-b887-515394f1557d}" done="0">
    <x18tc:text xml:space="preserve">air fryer</x18tc:text>
  </x18tc:threadedComment>
  <x18tc:threadedComment ref="E242" dT="2025-09-19T08:55:55.00" personId="{9c0aebe9-b29b-46bc-824b-5c102ff6f9db}" id="{ad45b30d-6de7-4f48-9227-3946ed560309}" done="0">
    <x18tc:text xml:space="preserve">mom gift - 31,5k</x18tc:text>
  </x18tc:threadedComment>
  <x18tc:threadedComment ref="O214" dT="2025-09-19T08:53:29.00" personId="{9c0aebe9-b29b-46bc-824b-5c102ff6f9db}" id="{4f74b387-b761-4001-936b-666c1a8357ab}" done="0">
    <x18tc:text xml:space="preserve">mom total: 200+200+500+400+500=1800 RON=&gt;
~140K HUF</x18tc:text>
  </x18tc:threadedComment>
  <x18tc:threadedComment ref="I295" dT="2025-11-19T10:29:13.00" personId="{9c0aebe9-b29b-46bc-824b-5c102ff6f9db}" id="{b5a8cef7-bd6e-40c1-90e6-d704a9cf16ea}" done="0">
    <x18tc:text xml:space="preserve">Vienna - Ana BD</x18tc:text>
  </x18tc:threadedComment>
  <x18tc:threadedComment ref="G298" dT="2025-11-19T10:19:04.00" personId="{9c0aebe9-b29b-46bc-824b-5c102ff6f9db}" id="{c2f614e4-7985-4bda-a9e9-d104eb3b637d}" done="0">
    <x18tc:text xml:space="preserve">gift to mom</x18tc:text>
  </x18tc:threadedComment>
  <x18tc:threadedComment ref="I299" dT="2025-11-19T10:26:50.00" personId="{9c0aebe9-b29b-46bc-824b-5c102ff6f9db}" id="{3597139f-8d94-46d0-899d-31c3193434f2}" done="0">
    <x18tc:text xml:space="preserve">match HUN - URL</x18tc:text>
  </x18tc:threadedComment>
  <x18tc:threadedComment ref="G297" dT="2025-11-19T10:19:31.00" personId="{9c0aebe9-b29b-46bc-824b-5c102ff6f9db}" id="{61003329-0312-4401-9072-cd6cd473f2c9}" done="0">
    <x18tc:text xml:space="preserve">SOLO.ro</x18tc:text>
    <x18tc:extLst>
      <ext uri="{F7C98A9C-CBB3-438F-8F68-D28B6AF4A901}">
        <xltc2:checksum/>
        <xltc2:hyperlink startIndex="0" length="7" url="http://SOLO.ro"/>
      </ext>
    </x18tc:extLst>
  </x18tc:threadedComment>
  <x18tc:threadedComment ref="K214" dT="2025-09-19T08:51:21.00" personId="{9c0aebe9-b29b-46bc-824b-5c102ff6f9db}" id="{d00a5b6d-96b5-4cdc-b021-511efaa31e50}" done="0">
    <x18tc:text xml:space="preserve">mom gift - 1000RON</x18tc:text>
  </x18tc:threadedComment>
  <x18tc:threadedComment ref="I47" dT="2025-03-17T17:29:43.00" personId="{9c0aebe9-b29b-46bc-824b-5c102ff6f9db}" id="{17428fc9-036e-4283-b520-eb591e4f7331}" done="0">
    <x18tc:text xml:space="preserve">valentin nap</x18tc:text>
  </x18tc:threadedComment>
  <x18tc:threadedComment ref="I186" dT="2025-07-27T20:00:49.00" personId="{9c0aebe9-b29b-46bc-824b-5c102ff6f9db}" id="{0d9f4929-bc68-4be9-822a-e605c3a72d70}" done="0">
    <x18tc:text xml:space="preserve">gift to mom</x18tc:text>
  </x18tc:threadedComment>
  <x18tc:threadedComment ref="I103" dT="2025-05-04T10:25:22.00" personId="{9c0aebe9-b29b-46bc-824b-5c102ff6f9db}" id="{83dac30f-b1f5-4832-b4dd-48cde2afe761}" done="0">
    <x18tc:text xml:space="preserve">mom gift 90k</x18tc:text>
  </x18tc:threadedComment>
  <x18tc:threadedComment ref="M97" dT="2025-05-04T10:25:57.00" personId="{9c0aebe9-b29b-46bc-824b-5c102ff6f9db}" id="{d8db7a32-d75e-446d-b746-008afcf04611}" done="0">
    <x18tc:text xml:space="preserve">RTX 4060 GPU</x18tc:text>
  </x18tc:threadedComment>
  <x18tc:threadedComment ref="M103" dT="2025-05-04T10:25:14.00" personId="{9c0aebe9-b29b-46bc-824b-5c102ff6f9db}" id="{6f936219-e684-485c-8ed0-527ee96bb095}" done="0">
    <x18tc:text xml:space="preserve">mom gift</x18tc:text>
  </x18tc:threadedComment>
  <x18tc:threadedComment ref="G216" dT="2025-08-24T19:05:13.00" personId="{9c0aebe9-b29b-46bc-824b-5c102ff6f9db}" id="{8ee61d12-20a8-40ee-81ec-cc8479256f73}" done="0">
    <x18tc:text xml:space="preserve">birthday stuff</x18tc:text>
  </x18tc:threadedComment>
  <x18tc:threadedComment ref="E153" dT="2025-06-12T19:08:24.00" personId="{9c0aebe9-b29b-46bc-824b-5c102ff6f9db}" id="{a33284be-b1f0-4bdc-9d0c-e03fbdf03da4}" done="0">
    <x18tc:text xml:space="preserve">massage</x18tc:text>
  </x18tc:threadedComment>
  <x18tc:threadedComment ref="E153" dT="2025-06-12T19:08:39.00" personId="{9c0aebe9-b29b-46bc-824b-5c102ff6f9db}" id="{fdf41a76-32b9-4ecf-84f4-414f3f18b85a}" parentId="{a33284be-b1f0-4bdc-9d0c-e03fbdf03da4}">
    <x18tc:text xml:space="preserve">haircut</x18tc:text>
  </x18tc:threadedComment>
  <x18tc:threadedComment ref="I213" dT="2025-08-24T19:13:03.00" personId="{9c0aebe9-b29b-46bc-824b-5c102ff6f9db}" id="{4976cc69-5b63-43a6-8ee7-5d8f066d5d2e}" done="0">
    <x18tc:text xml:space="preserve">4800 - Revolut metal subscription</x18tc:text>
  </x18tc:threadedComment>
  <x18tc:threadedComment ref="M123" dT="2025-06-12T19:06:22.00" personId="{9c0aebe9-b29b-46bc-824b-5c102ff6f9db}" id="{e40c62b4-663a-4030-b964-5307616da46f}" done="0">
    <x18tc:text xml:space="preserve">french food festival 9950HUF</x18tc:text>
  </x18tc:threadedComment>
  <x18tc:threadedComment ref="I207" dT="2025-08-24T19:11:18.00" personId="{9c0aebe9-b29b-46bc-824b-5c102ff6f9db}" id="{db572074-62ba-46d5-b0bb-f28b3a12631b}" done="0">
    <x18tc:text xml:space="preserve">Palfi visit eating/drinking out</x18tc:text>
  </x18tc:threadedComment>
  <x18tc:threadedComment ref="I97" dT="2025-05-04T10:20:18.00" personId="{9c0aebe9-b29b-46bc-824b-5c102ff6f9db}" id="{0836dedd-2252-4390-bc2b-1c253e6fd14e}" done="0">
    <x18tc:text xml:space="preserve">ncase m2</x18tc:text>
  </x18tc:threadedComment>
  <x18tc:threadedComment ref="K105" dT="2025-05-04T10:22:43.00" personId="{9c0aebe9-b29b-46bc-824b-5c102ff6f9db}" id="{3430fcdb-6862-415e-9661-afcce6bb8cb8}" done="0">
    <x18tc:text xml:space="preserve">easter dinner + etc</x18tc:text>
  </x18tc:threadedComment>
  <x18tc:threadedComment ref="E156" dT="2025-06-12T19:17:44.00" personId="{9c0aebe9-b29b-46bc-824b-5c102ff6f9db}" id="{167dd5fb-4bf7-44b4-b58b-058663eeab64}" done="0">
    <x18tc:text xml:space="preserve">uber to hospital</x18tc:text>
  </x18tc:threadedComment>
  <x18tc:threadedComment ref="E159" dT="2025-06-12T19:15:05.00" personId="{9c0aebe9-b29b-46bc-824b-5c102ff6f9db}" id="{70828724-9ab7-40ed-b0d2-1af441f475db}" done="0">
    <x18tc:text xml:space="preserve">comic con</x18tc:text>
  </x18tc:threadedComment>
  <x18tc:threadedComment ref="M110" dT="2025-05-04T10:27:27.00" personId="{9c0aebe9-b29b-46bc-824b-5c102ff6f9db}" id="{de30e7fa-f5a3-4859-b062-7ef906476b9a}" done="0">
    <x18tc:text xml:space="preserve">Hugo + jacq Airbnb part</x18tc:text>
  </x18tc:threadedComment>
  <x18tc:threadedComment ref="K236" dT="2025-11-02T21:00:49.00" personId="{9c0aebe9-b29b-46bc-824b-5c102ff6f9db}" id="{4a6e9ca7-d32d-49a0-a9d6-6210ef42211c}" done="0">
    <x18tc:text xml:space="preserve">SD CArd</x18tc:text>
  </x18tc:threadedComment>
  <x18tc:threadedComment ref="E123" dT="2025-05-04T10:31:45.00" personId="{9c0aebe9-b29b-46bc-824b-5c102ff6f9db}" id="{c7db972a-6a77-4650-b16b-d0269a2c75cf}" done="0">
    <x18tc:text xml:space="preserve">for sale pub -&gt; 26C brunch -&gt; Gabi's dinner</x18tc:text>
  </x18tc:threadedComment>
  <x18tc:threadedComment ref="I238" dT="2025-09-19T08:43:31.00" personId="{9c0aebe9-b29b-46bc-824b-5c102ff6f9db}" id="{f6fb3061-9eff-43a7-971a-d4d2649c2b7b}" done="0">
    <x18tc:text xml:space="preserve">haircut</x18tc:text>
  </x18tc:threadedComment>
  <x18tc:threadedComment ref="K100" dT="2025-05-04T10:26:58.00" personId="{9c0aebe9-b29b-46bc-824b-5c102ff6f9db}" id="{b3259e5d-53c5-4d0e-babb-c7da037d71d7}" done="0">
    <x18tc:text xml:space="preserve">AIRBNB ROME</x18tc:text>
  </x18tc:threadedComment>
  <x18tc:threadedComment ref="I239" dT="2025-09-19T08:40:57.00" personId="{9c0aebe9-b29b-46bc-824b-5c102ff6f9db}" id="{08fc769c-d27a-41b8-97be-6bc6a671d739}" done="0">
    <x18tc:text xml:space="preserve">Booking.com - Flight PVH -&gt; SAO PAULO</x18tc:text>
    <x18tc:extLst>
      <ext uri="{F7C98A9C-CBB3-438F-8F68-D28B6AF4A901}">
        <xltc2:checksum/>
        <xltc2:hyperlink startIndex="0" length="11" url="http://Booking.com"/>
      </ext>
    </x18tc:extLst>
  </x18tc:threadedComment>
  <x18tc:threadedComment ref="K322" dT="2025-12-28T20:03:46.00" personId="{9c0aebe9-b29b-46bc-824b-5c102ff6f9db}" id="{8a3b6d83-ba08-4a90-8608-009ace192ef4}" done="0">
    <x18tc:text xml:space="preserve">haircut</x18tc:text>
  </x18tc:threadedComment>
  <x18tc:threadedComment ref="I236" dT="2025-09-19T08:41:21.00" personId="{9c0aebe9-b29b-46bc-824b-5c102ff6f9db}" id="{aea1c2a7-8b01-4b28-9b9d-a4f21715745b}" done="0">
    <x18tc:text xml:space="preserve">insta360 go ultra</x18tc:text>
  </x18tc:threadedComment>
  <x18tc:threadedComment ref="K321" dT="2025-12-28T20:04:50.00" personId="{9c0aebe9-b29b-46bc-824b-5c102ff6f9db}" id="{44689302-508a-4a28-8ac6-bc33fd400af1}" done="0">
    <x18tc:text xml:space="preserve">7x CGM = 39116</x18tc:text>
  </x18tc:threadedComment>
  <x18tc:threadedComment ref="G126" dT="2025-05-12T15:38:00.00" personId="{9c0aebe9-b29b-46bc-824b-5c102ff6f9db}" id="{ae01af5a-8702-4138-9b49-d6676ce895f0}" done="0">
    <x18tc:text xml:space="preserve">CGM supplies + etalon stripes</x18tc:text>
  </x18tc:threadedComment>
  <x18tc:threadedComment ref="G137" dT="2025-05-12T15:41:56.00" personId="{9c0aebe9-b29b-46bc-824b-5c102ff6f9db}" id="{d6a82dec-b0eb-4504-8190-c1cbb28e1561}" done="0">
    <x18tc:text xml:space="preserve">MSI RTX 2060  ventus XS</x18tc:text>
  </x18tc:threadedComment>
  <x18tc:threadedComment ref="I125" dT="2025-06-12T18:55:15.00" personId="{9c0aebe9-b29b-46bc-824b-5c102ff6f9db}" id="{762209e1-4aa0-44ac-89d1-1c553ce0b8e8}" done="0">
    <x18tc:text xml:space="preserve">RTX 5070 from alternate.de</x18tc:text>
    <x18tc:extLst>
      <ext uri="{F7C98A9C-CBB3-438F-8F68-D28B6AF4A901}">
        <xltc2:checksum/>
        <xltc2:hyperlink startIndex="14" length="12" url="http://alternate.de"/>
      </ext>
    </x18tc:extLst>
  </x18tc:threadedComment>
  <x18tc:threadedComment ref="M125" dT="2025-06-12T19:03:44.00" personId="{9c0aebe9-b29b-46bc-824b-5c102ff6f9db}" id="{6d494191-5ac2-4d1d-9b22-8d6b6560dc08}" done="0">
    <x18tc:text xml:space="preserve">GPU 12vhpwr adapter -&gt; cable from roger.smith</x18tc:text>
  </x18tc:threadedComment>
  <x18tc:threadedComment ref="M125" dT="2025-06-12T19:04:23.00" personId="{9c0aebe9-b29b-46bc-824b-5c102ff6f9db}" id="{65176fec-4894-4bcc-aa04-25ead66946a3}" parentId="{6d494191-5ac2-4d1d-9b22-8d6b6560dc08}">
    <x18tc:text xml:space="preserve">3d printed legs for ncase m2</x18tc:text>
  </x18tc:threadedComment>
  <x18tc:threadedComment ref="G320" dT="2025-12-28T19:52:21.00" personId="{9c0aebe9-b29b-46bc-824b-5c102ff6f9db}" id="{a5711e81-8580-4243-93a8-9b38817d75bd}" done="0">
    <x18tc:text xml:space="preserve">LED + fa minta tapeta</x18tc:text>
  </x18tc:threadedComment>
  <x18tc:threadedComment ref="K125" dT="2025-06-12T18:55:33.00" personId="{9c0aebe9-b29b-46bc-824b-5c102ff6f9db}" id="{b38056ef-f821-49ab-b69d-a8be01873d1f}" done="0">
    <x18tc:text xml:space="preserve">shipping via mailboxde for the RTX 5070 from alternate.de</x18tc:text>
    <x18tc:extLst>
      <ext uri="{F7C98A9C-CBB3-438F-8F68-D28B6AF4A901}">
        <xltc2:checksum/>
        <xltc2:hyperlink startIndex="45" length="12" url="http://alternate.de"/>
      </ext>
    </x18tc:extLst>
  </x18tc:threadedComment>
  <x18tc:threadedComment ref="K125" dT="2025-06-12T19:00:59.00" personId="{9c0aebe9-b29b-46bc-824b-5c102ff6f9db}" id="{fc8666e8-11cf-49b3-a55d-d555d23e50f3}" parentId="{b38056ef-f821-49ab-b69d-a8be01873d1f}">
    <x18tc:text xml:space="preserve">GPU 12vhpwr cable from roger.smith</x18tc:text>
  </x18tc:threadedComment>
  <x18tc:threadedComment ref="I322" dT="2025-12-28T19:56:39.00" personId="{9c0aebe9-b29b-46bc-824b-5c102ff6f9db}" id="{75ade557-2ed2-42a3-aca2-4858122973cb}" done="0">
    <x18tc:text xml:space="preserve">CROPP JEANS blue + black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26" dT="2024-05-28T06:54:19.00" personId="{9c0aebe9-b29b-46bc-824b-5c102ff6f9db}" id="{a139ebe5-69ef-4cd1-914d-c0be38e3317c}" done="0">
    <x18tc:text xml:space="preserve">massage</x18tc:text>
  </x18tc:threadedComment>
  <x18tc:threadedComment ref="K126" dT="2024-05-28T06:54:47.00" personId="{9c0aebe9-b29b-46bc-824b-5c102ff6f9db}" id="{b500996c-2099-4cc1-bacf-26e74368fefd}" done="0">
    <x18tc:text xml:space="preserve">haircut</x18tc:text>
  </x18tc:threadedComment>
  <x18tc:threadedComment ref="K126" dT="2024-06-01T07:26:11.00" personId="{9c0aebe9-b29b-46bc-824b-5c102ff6f9db}" id="{c0bcdba3-54d3-4303-b455-8b3e09aaea6d}" parentId="{b500996c-2099-4cc1-bacf-26e74368fefd}">
    <x18tc:text xml:space="preserve">Caresens Air CGM</x18tc:text>
  </x18tc:threadedComment>
  <x18tc:threadedComment ref="G102" dT="2024-04-08T21:05:44.00" personId="{9c0aebe9-b29b-46bc-824b-5c102ff6f9db}" id="{cf7c12b4-f82d-4700-8b19-2ed2caf4f96e}" done="0">
    <x18tc:text xml:space="preserve">yettel</x18tc:text>
  </x18tc:threadedComment>
  <x18tc:threadedComment ref="M243" dT="2024-10-05T21:12:46.00" personId="{9c0aebe9-b29b-46bc-824b-5c102ff6f9db}" id="{b576bafb-c249-4cb2-bfdc-2b9057e486ff}" done="0">
    <x18tc:text xml:space="preserve">mom</x18tc:text>
  </x18tc:threadedComment>
  <x18tc:threadedComment ref="K77" dT="2024-03-22T20:45:55.00" personId="{9c0aebe9-b29b-46bc-824b-5c102ff6f9db}" id="{ab6f30eb-4d74-475d-bc8a-1cf24682dab8}" done="0">
    <x18tc:text xml:space="preserve">iPhone 15 for Ana</x18tc:text>
  </x18tc:threadedComment>
  <x18tc:threadedComment ref="E272" dT="2024-10-05T21:26:27.00" personId="{9c0aebe9-b29b-46bc-824b-5c102ff6f9db}" id="{0670ceab-a446-41b1-823f-fdbc6f58a17c}" done="0">
    <x18tc:text xml:space="preserve">cinema me + Ana</x18tc:text>
  </x18tc:threadedComment>
  <x18tc:threadedComment ref="E70" dT="2024-03-22T20:48:20.00" personId="{9c0aebe9-b29b-46bc-824b-5c102ff6f9db}" id="{4c3297ec-cece-4c90-b6a0-32a2f89789d2}" done="0">
    <x18tc:text xml:space="preserve">massage</x18tc:text>
  </x18tc:threadedComment>
  <x18tc:threadedComment ref="G232" dT="2024-09-14T12:26:43.00" personId="{9c0aebe9-b29b-46bc-824b-5c102ff6f9db}" id="{a8725fe3-d872-41a1-a3de-999f5687f0e8}" done="0">
    <x18tc:text xml:space="preserve">First rent - paid it all</x18tc:text>
  </x18tc:threadedComment>
  <x18tc:threadedComment ref="K82" dT="2024-03-22T20:44:40.00" personId="{9c0aebe9-b29b-46bc-824b-5c102ff6f9db}" id="{2f772ea4-b739-4487-852e-8999632b8707}" done="0">
    <x18tc:text xml:space="preserve">sold macbook pro 2014</x18tc:text>
  </x18tc:threadedComment>
  <x18tc:threadedComment ref="E237" dT="2024-09-10T14:50:57.00" personId="{9c0aebe9-b29b-46bc-824b-5c102ff6f9db}" id="{aa0fd509-b2ca-4056-bb90-04360f7d24b5}" done="0">
    <x18tc:text xml:space="preserve">Anker MagGO - 5k powerbank</x18tc:text>
  </x18tc:threadedComment>
  <x18tc:threadedComment ref="I70" dT="2024-03-22T20:36:55.00" personId="{9c0aebe9-b29b-46bc-824b-5c102ff6f9db}" id="{f976c3aa-dc59-446d-ad05-43f0c5fad92c}" done="0">
    <x18tc:text xml:space="preserve">massage</x18tc:text>
  </x18tc:threadedComment>
  <x18tc:threadedComment ref="I290" dT="2024-11-19T17:05:36.00" personId="{9c0aebe9-b29b-46bc-824b-5c102ff6f9db}" id="{2211fab1-2080-4966-9490-e9dfd553e0a6}" done="0">
    <x18tc:text xml:space="preserve">French press</x18tc:text>
  </x18tc:threadedComment>
  <x18tc:threadedComment ref="I296" dT="2024-11-19T17:06:58.00" personId="{9c0aebe9-b29b-46bc-824b-5c102ff6f9db}" id="{eef3758d-13c1-4df8-9847-26fae65613f6}" done="0">
    <x18tc:text xml:space="preserve">TRip to Portugal</x18tc:text>
  </x18tc:threadedComment>
  <x18tc:threadedComment ref="I154" dT="2024-06-22T11:43:36.00" personId="{9c0aebe9-b29b-46bc-824b-5c102ff6f9db}" id="{19cfb512-2f51-492d-9d35-b81b3f67477d}" done="0">
    <x18tc:text xml:space="preserve">massage (have to give 500+ next time)</x18tc:text>
  </x18tc:threadedComment>
  <x18tc:threadedComment ref="K103" dT="2024-05-04T11:37:04.00" personId="{9c0aebe9-b29b-46bc-824b-5c102ff6f9db}" id="{9dfefeb4-cc68-49f3-9b0c-2a7c9ccf240e}" done="0">
    <x18tc:text xml:space="preserve">Gift for Ana for sneakers :D</x18tc:text>
  </x18tc:threadedComment>
  <x18tc:threadedComment ref="I151" dT="2024-06-22T11:46:40.00" personId="{9c0aebe9-b29b-46bc-824b-5c102ff6f9db}" id="{9dccccc4-39cb-4f4a-9cd7-8831821cd8fc}" done="0">
    <x18tc:text xml:space="preserve">balaton ice cream</x18tc:text>
  </x18tc:threadedComment>
  <x18tc:threadedComment ref="K95" dT="2024-05-04T11:38:43.00" personId="{9c0aebe9-b29b-46bc-824b-5c102ff6f9db}" id="{2a6491e7-b727-4039-852d-f6559107f6bf}" done="0">
    <x18tc:text xml:space="preserve">Wolt - ordered 2 menus before trip home</x18tc:text>
  </x18tc:threadedComment>
  <x18tc:threadedComment ref="K95" dT="2024-05-04T11:39:04.00" personId="{9c0aebe9-b29b-46bc-824b-5c102ff6f9db}" id="{d7903adc-f3a7-42c8-8483-8f38a862f5e9}" parentId="{2a6491e7-b727-4039-852d-f6559107f6bf}">
    <x18tc:text xml:space="preserve">Petruska etkezde - work lunch</x18tc:text>
  </x18tc:threadedComment>
  <x18tc:threadedComment ref="I217" dT="2024-08-19T12:36:33.00" personId="{9c0aebe9-b29b-46bc-824b-5c102ff6f9db}" id="{486801e3-becf-42bd-b917-8256a63894cf}" done="0">
    <x18tc:text xml:space="preserve">Notary - lease contract</x18tc:text>
  </x18tc:threadedComment>
  <x18tc:threadedComment ref="I160" dT="2024-06-22T11:45:08.00" personId="{9c0aebe9-b29b-46bc-824b-5c102ff6f9db}" id="{7bb2e07d-8098-48ac-a07e-187293ebb0b5}" done="0">
    <x18tc:text xml:space="preserve">Lupa beach</x18tc:text>
  </x18tc:threadedComment>
  <x18tc:threadedComment ref="K101" dT="2024-05-04T11:38:05.00" personId="{9c0aebe9-b29b-46bc-824b-5c102ff6f9db}" id="{fa941ccd-7c81-41e9-af74-b3a3e9fb8922}" done="0">
    <x18tc:text xml:space="preserve">train ticket BUD -&gt; SFG</x18tc:text>
  </x18tc:threadedComment>
  <x18tc:threadedComment ref="I211" dT="2024-08-19T12:38:08.00" personId="{9c0aebe9-b29b-46bc-824b-5c102ff6f9db}" id="{5b254826-76bb-4a3b-8dbb-ce62781fa7ce}" done="0">
    <x18tc:text xml:space="preserve">haircut</x18tc:text>
  </x18tc:threadedComment>
  <x18tc:threadedComment ref="M96" dT="2024-05-04T11:41:21.00" personId="{9c0aebe9-b29b-46bc-824b-5c102ff6f9db}" id="{cbbc6fa9-8ea3-4265-a603-1a3dc19ae952}" done="0">
    <x18tc:text xml:space="preserve">Szimpla SFG</x18tc:text>
  </x18tc:threadedComment>
  <x18tc:threadedComment ref="E131" dT="2024-05-04T11:44:48.00" personId="{9c0aebe9-b29b-46bc-824b-5c102ff6f9db}" id="{49a93983-61d5-4fd2-9812-09e365483228}" done="0">
    <x18tc:text xml:space="preserve">500 ron to mom</x18tc:text>
  </x18tc:threadedComment>
  <x18tc:threadedComment ref="E131" dT="2024-05-12T07:35:44.00" personId="{9c0aebe9-b29b-46bc-824b-5c102ff6f9db}" id="{7a264058-dd2c-4cee-b7e3-e586456f6e9a}" parentId="{49a93983-61d5-4fd2-9812-09e365483228}">
    <x18tc:text xml:space="preserve">Ana - earring from SFG</x18tc:text>
  </x18tc:threadedComment>
  <x18tc:threadedComment ref="K299" dT="2024-12-07T17:28:11.00" personId="{9c0aebe9-b29b-46bc-824b-5c102ff6f9db}" id="{d206fcdf-28f8-4d19-9fcb-40259383d190}" done="0">
    <x18tc:text xml:space="preserve">Gift to mom + Birthday Gift  massage to Ana</x18tc:text>
  </x18tc:threadedComment>
  <x18tc:threadedComment ref="I75" dT="2024-03-22T20:40:26.00" personId="{9c0aebe9-b29b-46bc-824b-5c102ff6f9db}" id="{6df94386-a6c9-45b5-a206-bbb301dcedee}" done="0">
    <x18tc:text xml:space="preserve">balazs march 15th mexican + gifts: joao</x18tc:text>
  </x18tc:threadedComment>
  <x18tc:threadedComment ref="K291" dT="2024-12-07T17:27:29.00" personId="{9c0aebe9-b29b-46bc-824b-5c102ff6f9db}" id="{6df82d34-68aa-4a11-af35-38cf15830f0a}" done="0">
    <x18tc:text xml:space="preserve">8k - Ana birthday -  Forni di napoli pizza + drink</x18tc:text>
  </x18tc:threadedComment>
  <x18tc:threadedComment ref="E158" dT="2024-06-13T15:29:43.00" personId="{9c0aebe9-b29b-46bc-824b-5c102ff6f9db}" id="{e8834c0e-2659-4bbb-993f-16915111633f}" done="0">
    <x18tc:text xml:space="preserve">icloud</x18tc:text>
  </x18tc:threadedComment>
  <x18tc:threadedComment ref="E47" dT="2024-02-12T10:08:17.00" personId="{9c0aebe9-b29b-46bc-824b-5c102ff6f9db}" id="{f432656e-8d78-4033-b16b-a4b3fc6a0fe7}" done="0">
    <x18tc:text xml:space="preserve">coffee with Ana</x18tc:text>
  </x18tc:threadedComment>
  <x18tc:threadedComment ref="G217" dT="2024-08-10T11:27:32.00" personId="{9c0aebe9-b29b-46bc-824b-5c102ff6f9db}" id="{acb06b0a-5c86-4198-a47f-11c4a8e25959}" done="0">
    <x18tc:text xml:space="preserve">brithday stuff</x18tc:text>
  </x18tc:threadedComment>
  <x18tc:threadedComment ref="E160" dT="2024-06-13T15:40:40.00" personId="{9c0aebe9-b29b-46bc-824b-5c102ff6f9db}" id="{8fc3c686-1659-4b43-bd93-5b269296bb68}" done="0">
    <x18tc:text xml:space="preserve">lupa beach</x18tc:text>
  </x18tc:threadedComment>
  <x18tc:threadedComment ref="E42" dT="2024-02-12T10:08:02.00" personId="{9c0aebe9-b29b-46bc-824b-5c102ff6f9db}" id="{2f410644-d929-4c47-867e-76cd2451cc7f}" done="0">
    <x18tc:text xml:space="preserve">Royal patika - insulin etc.</x18tc:text>
  </x18tc:threadedComment>
  <x18tc:threadedComment ref="I66" dT="2024-03-22T20:39:10.00" personId="{9c0aebe9-b29b-46bc-824b-5c102ff6f9db}" id="{16226adf-dfaa-4c03-aee1-c0dea51a707e}" done="0">
    <x18tc:text xml:space="preserve">shaving &amp; other supplies</x18tc:text>
  </x18tc:threadedComment>
  <x18tc:threadedComment ref="G154" dT="2024-06-13T15:48:11.00" personId="{9c0aebe9-b29b-46bc-824b-5c102ff6f9db}" id="{91831b46-d60a-4d08-8b3e-655f6243e651}" done="0">
    <x18tc:text xml:space="preserve">Sibionics</x18tc:text>
  </x18tc:threadedComment>
  <x18tc:threadedComment ref="E324" dT="2024-12-07T17:36:59.00" personId="{9c0aebe9-b29b-46bc-824b-5c102ff6f9db}" id="{b4bc01df-8f42-44f3-9922-7fa282133510}" done="0">
    <x18tc:text xml:space="preserve">PORTUGAL TRIPPPP</x18tc:text>
  </x18tc:threadedComment>
  <x18tc:threadedComment ref="E323" dT="2024-12-07T17:35:51.00" personId="{9c0aebe9-b29b-46bc-824b-5c102ff6f9db}" id="{6addf6c2-d7db-486a-b978-34ecdc47777c}" done="0">
    <x18tc:text xml:space="preserve">black Timbs &lt;3</x18tc:text>
  </x18tc:threadedComment>
  <x18tc:threadedComment ref="K273" dT="2024-10-29T17:46:03.00" personId="{9c0aebe9-b29b-46bc-824b-5c102ff6f9db}" id="{e3901339-3ad7-47a9-93b4-1f6c69122fe8}" done="0">
    <x18tc:text xml:space="preserve">6k - give woman back his money after magsafe cable not working</x18tc:text>
  </x18tc:threadedComment>
  <x18tc:threadedComment ref="G207" dT="2024-08-10T11:28:28.00" personId="{9c0aebe9-b29b-46bc-824b-5c102ff6f9db}" id="{ed832400-b444-4d0d-ba8b-b8bba1ddc9d1}" done="0">
    <x18tc:text xml:space="preserve">Julia birthday steakhouse</x18tc:text>
  </x18tc:threadedComment>
  <x18tc:threadedComment ref="E217" dT="2024-08-10T11:27:38.00" personId="{9c0aebe9-b29b-46bc-824b-5c102ff6f9db}" id="{13638609-2392-451c-84dd-9970aa0ad8ad}" done="0">
    <x18tc:text xml:space="preserve">brithday stuff</x18tc:text>
  </x18tc:threadedComment>
  <x18tc:threadedComment ref="G138" dT="2024-05-12T07:30:28.00" personId="{9c0aebe9-b29b-46bc-824b-5c102ff6f9db}" id="{6c44ff35-88fc-4636-885b-5ebc5fbee41b}" done="0">
    <x18tc:text xml:space="preserve">Ana - iPhone 15</x18tc:text>
  </x18tc:threadedComment>
  <x18tc:threadedComment ref="G138" dT="2024-05-16T15:22:39.00" personId="{9c0aebe9-b29b-46bc-824b-5c102ff6f9db}" id="{dabd7cef-6255-41c7-8edb-7b88c73bb7c1}" parentId="{6c44ff35-88fc-4636-885b-5ebc5fbee41b}">
    <x18tc:text xml:space="preserve">sold airpods gen2</x18tc:text>
  </x18tc:threadedComment>
  <x18tc:threadedComment ref="K159" dT="2024-06-22T11:47:45.00" personId="{9c0aebe9-b29b-46bc-824b-5c102ff6f9db}" id="{81a20ecd-847d-4dfe-bb91-0fbc0219c753}" done="0">
    <x18tc:text xml:space="preserve">Balaton Ana food/snacks</x18tc:text>
  </x18tc:threadedComment>
  <x18tc:threadedComment ref="I148" dT="2024-06-22T11:53:16.00" personId="{9c0aebe9-b29b-46bc-824b-5c102ff6f9db}" id="{7ca51d59-d714-42df-8334-14b65444527e}" done="0">
    <x18tc:text xml:space="preserve">Rent - 197,271 + rest</x18tc:text>
  </x18tc:threadedComment>
  <x18tc:threadedComment ref="K160" dT="2024-06-22T11:49:29.00" personId="{9c0aebe9-b29b-46bc-824b-5c102ff6f9db}" id="{734127cf-32da-43fb-abd0-367ccf95a6ac}" done="0">
    <x18tc:text xml:space="preserve">Balaton expenses</x18tc:text>
  </x18tc:threadedComment>
  <x18tc:threadedComment ref="K160" dT="2024-06-22T11:57:31.00" personId="{9c0aebe9-b29b-46bc-824b-5c102ff6f9db}" id="{3f74e61c-40e0-43cf-bb56-e65bda751011}" parentId="{734127cf-32da-43fb-abd0-367ccf95a6ac}">
    <x18tc:text xml:space="preserve">- food, drinks
- renting the house
- other expenses</x18tc:text>
  </x18tc:threadedComment>
  <x18tc:threadedComment ref="K13" dT="2024-01-24T15:23:16.00" personId="{9c0aebe9-b29b-46bc-824b-5c102ff6f9db}" id="{76d7315e-51aa-4430-85a9-e4aee97d3f81}" done="0">
    <x18tc:text xml:space="preserve">edifier hangfalak</x18tc:text>
  </x18tc:threadedComment>
  <x18tc:threadedComment ref="E129" dT="2024-05-12T07:31:23.00" personId="{9c0aebe9-b29b-46bc-824b-5c102ff6f9db}" id="{c12b4430-1ab7-4eb9-87c7-8b17159577a8}" done="0">
    <x18tc:text xml:space="preserve">SFG -&gt; BUD IC406</x18tc:text>
  </x18tc:threadedComment>
  <x18tc:threadedComment ref="M46" dT="2024-03-02T17:04:28.00" personId="{9c0aebe9-b29b-46bc-824b-5c102ff6f9db}" id="{c8af2bf2-bf49-41c7-9538-ba9b4f03606f}" done="0">
    <x18tc:text xml:space="preserve">yettel atiras</x18tc:text>
  </x18tc:threadedComment>
  <x18tc:threadedComment ref="M154" dT="2024-07-04T15:49:43.00" personId="{9c0aebe9-b29b-46bc-824b-5c102ff6f9db}" id="{7521af78-50cd-4702-a5f7-2d5b69246fa4}" done="0">
    <x18tc:text xml:space="preserve">massage</x18tc:text>
  </x18tc:threadedComment>
  <x18tc:threadedComment ref="I41" dT="2024-02-18T14:17:42.00" personId="{9c0aebe9-b29b-46bc-824b-5c102ff6f9db}" id="{7f85a177-75b9-49d8-8513-7ec19123c30a}" done="0">
    <x18tc:text xml:space="preserve">iPhone 15 + screen protector (- iPhone 12 mini + iPhone SE</x18tc:text>
  </x18tc:threadedComment>
  <x18tc:threadedComment ref="I41" dT="2024-02-18T14:20:48.00" personId="{9c0aebe9-b29b-46bc-824b-5c102ff6f9db}" id="{f1057249-1051-430e-b6ac-1642f4a75037}" parentId="{7f85a177-75b9-49d8-8513-7ec19123c30a}">
    <x18tc:text xml:space="preserve">Benks ArmorPRO case</x18tc:text>
  </x18tc:threadedComment>
  <x18tc:threadedComment ref="M43" dT="2024-03-02T17:05:11.00" personId="{9c0aebe9-b29b-46bc-824b-5c102ff6f9db}" id="{66023c7a-d8ae-407f-ad7f-201f484f14b9}" done="0">
    <x18tc:text xml:space="preserve">ring</x18tc:text>
  </x18tc:threadedComment>
  <x18tc:threadedComment ref="K20" dT="2024-01-29T16:05:59.00" personId="{9c0aebe9-b29b-46bc-824b-5c102ff6f9db}" id="{816743ca-e837-46bd-8eab-3130cc75d03c}" done="0">
    <x18tc:text xml:space="preserve">CSepeli jegp[alya</x18tc:text>
  </x18tc:threadedComment>
  <x18tc:threadedComment ref="G49" dT="2024-02-18T14:18:56.00" personId="{9c0aebe9-b29b-46bc-824b-5c102ff6f9db}" id="{415d79cb-9f64-403d-b1a5-9f898892812a}" done="0">
    <x18tc:text xml:space="preserve">foxpost</x18tc:text>
  </x18tc:threadedComment>
  <x18tc:threadedComment ref="G14" dT="2024-01-14T18:30:27.00" personId="{9c0aebe9-b29b-46bc-824b-5c102ff6f9db}" id="{a144dcb6-a91d-467f-b729-1352232b674a}" done="0">
    <x18tc:text xml:space="preserve">DIAB stuff</x18tc:text>
  </x18tc:threadedComment>
  <x18tc:threadedComment ref="G14" dT="2024-01-14T18:34:41.00" personId="{9c0aebe9-b29b-46bc-824b-5c102ff6f9db}" id="{efb359ab-5943-4c12-8017-90c25dff1650}" parentId="{a144dcb6-a91d-467f-b729-1352232b674a}">
    <x18tc:text xml:space="preserve">STD test - Hepatitis</x18tc:text>
  </x18tc:threadedComment>
  <x18tc:threadedComment ref="E125" dT="2024-05-12T07:31:00.00" personId="{9c0aebe9-b29b-46bc-824b-5c102ff6f9db}" id="{5e6a155d-b664-4bec-90b7-c73fe7b644a7}" done="0">
    <x18tc:text xml:space="preserve">3-in-1 magsafe stand - amazon</x18tc:text>
  </x18tc:threadedComment>
  <x18tc:threadedComment ref="E76" dT="2024-03-10T12:32:19.00" personId="{9c0aebe9-b29b-46bc-824b-5c102ff6f9db}" id="{02778556-d16b-4f22-ac02-c5af1cb8e0bc}" done="0">
    <x18tc:text xml:space="preserve">Dune - part two</x18tc:text>
  </x18tc:threadedComment>
  <x18tc:threadedComment ref="G75" dT="2024-03-10T12:52:48.00" personId="{9c0aebe9-b29b-46bc-824b-5c102ff6f9db}" id="{47b68257-f94e-4d71-acdc-014feb4ac13c}" done="0">
    <x18tc:text xml:space="preserve">Ana dates + decathl;on glove</x18tc:text>
  </x18tc:threadedComment>
  <x18tc:threadedComment ref="G75" dT="2024-03-15T08:19:20.00" personId="{9c0aebe9-b29b-46bc-824b-5c102ff6f9db}" id="{79e921a2-d772-4de4-acce-5b751102d3fc}" parentId="{47b68257-f94e-4d71-acdc-014feb4ac13c}">
    <x18tc:text xml:space="preserve">Ana 6month date</x18tc:text>
  </x18tc:threadedComment>
  <x18tc:threadedComment ref="E98" dT="2024-04-10T15:54:13.00" personId="{9c0aebe9-b29b-46bc-824b-5c102ff6f9db}" id="{2bfe5179-ebce-4f55-8ec6-ca729208c7c2}" done="0">
    <x18tc:text xml:space="preserve">massage</x18tc:text>
  </x18tc:threadedComment>
  <x18tc:threadedComment ref="G98" dT="2024-04-10T15:54:01.00" personId="{9c0aebe9-b29b-46bc-824b-5c102ff6f9db}" id="{8048b779-15e3-4332-98fc-a7da75ddfce2}" done="0">
    <x18tc:text xml:space="preserve">etalon tesztcsikok</x18tc:text>
  </x18tc:threadedComment>
  <x18tc:threadedComment ref="K184" dT="2024-07-22T14:53:43.00" personId="{9c0aebe9-b29b-46bc-824b-5c102ff6f9db}" id="{6c49936c-45e8-439b-a080-fb8741cab506}" done="0">
    <x18tc:text xml:space="preserve">Warsaw - flight  + hotel</x18tc:text>
  </x18tc:threadedComment>
  <x18tc:threadedComment ref="M131" dT="2024-06-01T07:22:32.00" personId="{9c0aebe9-b29b-46bc-824b-5c102ff6f9db}" id="{3f31bab6-e374-40e2-9bfa-83354d61ebc7}" done="0">
    <x18tc:text xml:space="preserve">gift to mom + Ana poke bowl</x18tc:text>
  </x18tc:threadedComment>
  <x18tc:threadedComment ref="G187" dT="2024-07-22T14:49:01.00" personId="{9c0aebe9-b29b-46bc-824b-5c102ff6f9db}" id="{35563491-3405-43ba-8d8d-ca466c41ab42}" done="0">
    <x18tc:text xml:space="preserve">Ana sunglasses</x18tc:text>
  </x18tc:threadedComment>
  <x18tc:threadedComment ref="G187" dT="2024-07-22T14:49:24.00" personId="{9c0aebe9-b29b-46bc-824b-5c102ff6f9db}" id="{a67506b4-a1ca-41a5-a27d-cac0e65d4828}" parentId="{35563491-3405-43ba-8d8d-ca466c41ab42}">
    <x18tc:text xml:space="preserve">Mom 300ron</x18tc:text>
  </x18tc:threadedComment>
  <x18tc:threadedComment ref="K70" dT="2024-04-01T17:26:43.00" personId="{9c0aebe9-b29b-46bc-824b-5c102ff6f9db}" id="{0dd5f6e7-0436-4a4f-b140-4632e16070a7}" done="0">
    <x18tc:text xml:space="preserve">canesten</x18tc:text>
  </x18tc:threadedComment>
  <x18tc:threadedComment ref="M207" dT="2024-09-06T14:59:45.00" personId="{9c0aebe9-b29b-46bc-824b-5c102ff6f9db}" id="{22190e5f-7290-498e-8dc6-86a2c0651758}" done="0">
    <x18tc:text xml:space="preserve">gyros after massage</x18tc:text>
  </x18tc:threadedComment>
  <x18tc:threadedComment ref="M188" dT="2024-08-03T14:32:35.00" personId="{9c0aebe9-b29b-46bc-824b-5c102ff6f9db}" id="{8e5c4a74-4d8e-42b5-8d75-c15187d57b21}" done="0">
    <x18tc:text xml:space="preserve">futball</x18tc:text>
  </x18tc:threadedComment>
  <x18tc:threadedComment ref="I71" dT="2024-03-15T08:19:51.00" personId="{9c0aebe9-b29b-46bc-824b-5c102ff6f9db}" id="{79e7d851-5825-446c-8769-a4403bdf05f9}" done="0">
    <x18tc:text xml:space="preserve">DRK socks</x18tc:text>
  </x18tc:threadedComment>
  <x18tc:threadedComment ref="M183" dT="2024-08-03T14:33:02.00" personId="{9c0aebe9-b29b-46bc-824b-5c102ff6f9db}" id="{0050d869-91ca-42d0-843e-9c821a70d7dd}" done="0">
    <x18tc:text xml:space="preserve">adidas ozmillen + socks</x18tc:text>
  </x18tc:threadedComment>
  <x18tc:threadedComment ref="I77" dT="2024-03-15T08:20:03.00" personId="{9c0aebe9-b29b-46bc-824b-5c102ff6f9db}" id="{1002c5ad-58ec-4068-8cd0-2c6a0d9a060b}" done="0">
    <x18tc:text xml:space="preserve">BKK fine - for expired pass</x18tc:text>
  </x18tc:threadedComment>
  <x18tc:threadedComment ref="I77" dT="2024-03-22T20:42:04.00" personId="{9c0aebe9-b29b-46bc-824b-5c102ff6f9db}" id="{937d920d-f71c-4401-8b57-9c9afb00056f}" parentId="{1002c5ad-58ec-4068-8cd0-2c6a0d9a060b}">
    <x18tc:text xml:space="preserve">foci penz - 4months?</x18tc:text>
  </x18tc:threadedComment>
  <x18tc:threadedComment ref="I333" dT="2024-12-23T19:19:00.00" personId="{9c0aebe9-b29b-46bc-824b-5c102ff6f9db}" id="{682ffc4d-e4ea-400b-bcb5-046c8ed0c2d6}" done="0">
    <x18tc:text xml:space="preserve">Christmas gift from company</x18tc:text>
  </x18tc:threadedComment>
  <x18tc:threadedComment ref="K188" dT="2024-08-03T14:34:04.00" personId="{9c0aebe9-b29b-46bc-824b-5c102ff6f9db}" id="{2659a1fe-a004-4e62-8074-a18c9c7b2b89}" done="0">
    <x18tc:text xml:space="preserve">cinema date night</x18tc:text>
  </x18tc:threadedComment>
  <x18tc:threadedComment ref="K212" dT="2024-08-26T18:53:38.00" personId="{9c0aebe9-b29b-46bc-824b-5c102ff6f9db}" id="{dbc8b860-77e3-4256-a025-e58baec4f4d0}" done="0">
    <x18tc:text xml:space="preserve">Warsaw trip
food+drink: 8.66+12.7+ 1.46 + 28.03+2.77+14.1 + 2.95+9.86+3.1+2.06 = 85.69
others: 1105 + 1855  + 1671= 4631
transport: 3330 + 1640+1994 = 6964</x18tc:text>
  </x18tc:threadedComment>
  <x18tc:threadedComment ref="K212" dT="2024-09-06T14:57:42.00" personId="{9c0aebe9-b29b-46bc-824b-5c102ff6f9db}" id="{3f2c392c-1a1b-4407-ba03-d852578c5b09}" parentId="{dbc8b860-77e3-4256-a025-e58baec4f4d0}">
    <x18tc:text xml:space="preserve">Holland trip:
accommodation: 37383</x18tc:text>
  </x18tc:threadedComment>
  <x18tc:threadedComment ref="M321" dT="2025-01-10T15:52:10.00" personId="{9c0aebe9-b29b-46bc-824b-5c102ff6f9db}" id="{936bd999-7839-4d46-88f8-8d3027efb860}" done="0">
    <x18tc:text xml:space="preserve">EA FC 25</x18tc:text>
  </x18tc:threadedComment>
  <x18tc:threadedComment ref="K122" dT="2024-06-01T07:25:45.00" personId="{9c0aebe9-b29b-46bc-824b-5c102ff6f9db}" id="{1414b6f5-acaa-48c1-bc26-7b029f24831c}" done="0">
    <x18tc:text xml:space="preserve">vitamin d</x18tc:text>
  </x18tc:threadedComment>
  <x18tc:threadedComment ref="M123" dT="2024-06-01T07:22:46.00" personId="{9c0aebe9-b29b-46bc-824b-5c102ff6f9db}" id="{fd0f32c7-aea4-44e1-9960-0c97bc3d4d55}" done="0">
    <x18tc:text xml:space="preserve">gyros brothers</x18tc:text>
  </x18tc:threadedComment>
  <x18tc:threadedComment ref="G323" dT="2024-12-26T18:30:39.00" personId="{9c0aebe9-b29b-46bc-824b-5c102ff6f9db}" id="{c76c7e72-70ae-4719-a78b-56d227a7cc50}" done="0">
    <x18tc:text xml:space="preserve">Zara</x18tc:text>
  </x18tc:threadedComment>
  <x18tc:threadedComment ref="G188" dT="2024-07-11T10:16:32.00" personId="{9c0aebe9-b29b-46bc-824b-5c102ff6f9db}" id="{c793e135-6587-4974-93e5-5b830f21ca70}" done="0">
    <x18tc:text xml:space="preserve">Sziget ticket</x18tc:text>
  </x18tc:threadedComment>
  <x18tc:threadedComment ref="G189" dT="2024-07-11T10:16:55.00" personId="{9c0aebe9-b29b-46bc-824b-5c102ff6f9db}" id="{3cf58aa1-e591-4070-8dcd-7caee8e3f6fe}" done="0">
    <x18tc:text xml:space="preserve">Telekom - inHold behajtas</x18tc:text>
  </x18tc:threadedComment>
  <x18tc:threadedComment ref="M210" dT="2024-09-06T14:59:06.00" personId="{9c0aebe9-b29b-46bc-824b-5c102ff6f9db}" id="{09445f91-cdae-479c-9f8c-a9112f9de2b9}" done="0">
    <x18tc:text xml:space="preserve">massage</x18tc:text>
  </x18tc:threadedComment>
  <x18tc:threadedComment ref="G263" dT="2024-10-15T19:50:26.00" personId="{9c0aebe9-b29b-46bc-824b-5c102ff6f9db}" id="{8cc8c621-ff71-48e3-875b-3b9f6d87666d}" done="0">
    <x18tc:text xml:space="preserve">BurgerKing</x18tc:text>
  </x18tc:threadedComment>
  <x18tc:threadedComment ref="M126" dT="2024-06-01T06:52:48.00" personId="{9c0aebe9-b29b-46bc-824b-5c102ff6f9db}" id="{893fee67-84ca-4d8c-b2f3-1227e38d4731}" done="0">
    <x18tc:text xml:space="preserve">massage</x18tc:text>
  </x18tc:threadedComment>
  <x18tc:threadedComment ref="G47" dT="2024-02-18T14:21:45.00" personId="{9c0aebe9-b29b-46bc-824b-5c102ff6f9db}" id="{7d39f70f-931f-418e-9e8e-d575a84e5ac9}" done="0">
    <x18tc:text xml:space="preserve">Lanchid Sorozo - 5 months anniversary date with Ana</x18tc:text>
  </x18tc:threadedComment>
  <x18tc:threadedComment ref="K327" dT="2024-12-26T18:39:20.00" personId="{9c0aebe9-b29b-46bc-824b-5c102ff6f9db}" id="{c0480b8a-4c17-4738-904f-e9f8b8da6853}" done="0">
    <x18tc:text xml:space="preserve">christmas gift to mom</x18tc:text>
  </x18tc:threadedComment>
  <x18tc:threadedComment ref="K327" dT="2024-12-26T18:42:00.00" personId="{9c0aebe9-b29b-46bc-824b-5c102ff6f9db}" id="{af7ee9de-a3b1-46f7-942e-425aff25da0e}" parentId="{c0480b8a-4c17-4738-904f-e9f8b8da6853}">
    <x18tc:text xml:space="preserve">gift to Ana Paula's papai</x18tc:text>
  </x18tc:threadedComment>
  <x18tc:threadedComment ref="E182" dT="2024-07-06T10:38:25.00" personId="{9c0aebe9-b29b-46bc-824b-5c102ff6f9db}" id="{e9dc7b6c-ef95-45c8-9838-1ab5e75f45d8}" done="0">
    <x18tc:text xml:space="preserve">csontkovacs/chiropractor</x18tc:text>
  </x18tc:threadedComment>
  <x18tc:threadedComment ref="M215" dT="2024-09-06T14:58:34.00" personId="{9c0aebe9-b29b-46bc-824b-5c102ff6f9db}" id="{d0031231-31ee-4831-8873-8d624b751aed}" done="0">
    <x18tc:text xml:space="preserve">gift to mom</x18tc:text>
  </x18tc:threadedComment>
  <x18tc:threadedComment ref="E327" dT="2024-12-26T18:38:57.00" personId="{9c0aebe9-b29b-46bc-824b-5c102ff6f9db}" id="{d6aed3fb-fb4b-4301-85ae-b8c5a94b8b58}" done="0">
    <x18tc:text xml:space="preserve">15k to mom</x18tc:text>
  </x18tc:threadedComment>
  <x18tc:threadedComment ref="G97" dT="2024-04-21T11:58:07.00" personId="{9c0aebe9-b29b-46bc-824b-5c102ff6f9db}" id="{ed4dc7c6-64a5-496e-a723-e87cc707f0ce}" done="0">
    <x18tc:text xml:space="preserve">airtag</x18tc:text>
  </x18tc:threadedComment>
  <x18tc:threadedComment ref="G97" dT="2024-04-21T18:10:05.00" personId="{9c0aebe9-b29b-46bc-824b-5c102ff6f9db}" id="{b6b1ec79-661e-4dd7-b626-bdf08222c258}" parentId="{ed4dc7c6-64a5-496e-a723-e87cc707f0ce}">
    <x18tc:text xml:space="preserve">usb-c adapter</x18tc:text>
  </x18tc:threadedComment>
  <x18tc:threadedComment ref="M273" dT="2024-11-07T17:15:46.00" personId="{9c0aebe9-b29b-46bc-824b-5c102ff6f9db}" id="{62def256-2b3a-407f-acaa-38a8730781e8}" done="0">
    <x18tc:text xml:space="preserve">ERSTE - bank card annual fee + debit transactions fee</x18tc:text>
  </x18tc:threadedComment>
  <x18tc:threadedComment ref="I122" dT="2024-05-24T13:50:16.00" personId="{9c0aebe9-b29b-46bc-824b-5c102ff6f9db}" id="{06256bf7-0e18-4a4a-9d1c-6ddbb0a110c7}" done="0">
    <x18tc:text xml:space="preserve">zinc</x18tc:text>
  </x18tc:threadedComment>
  <x18tc:threadedComment ref="E299" dT="2024-11-07T17:19:35.00" personId="{9c0aebe9-b29b-46bc-824b-5c102ff6f9db}" id="{56424d8d-601e-4959-ad4b-62d538c35522}" done="0">
    <x18tc:text xml:space="preserve">26k - Trofea dinner all you can eat with wine</x18tc:text>
  </x18tc:threadedComment>
  <x18tc:threadedComment ref="E127" dT="2024-05-12T07:37:21.00" personId="{9c0aebe9-b29b-46bc-824b-5c102ff6f9db}" id="{394b80cc-0507-4e6c-a0e6-29dd86a4e4e0}" done="0">
    <x18tc:text xml:space="preserve">LCWaiki - boxers</x18tc:text>
  </x18tc:threadedComment>
  <x18tc:threadedComment ref="E293" dT="2024-11-07T17:20:15.00" personId="{9c0aebe9-b29b-46bc-824b-5c102ff6f9db}" id="{65f6647f-c6fd-466a-80f6-7d3f08c01ef6}" done="0">
    <x18tc:text xml:space="preserve">32GB RAM upgrade</x18tc:text>
  </x18tc:threadedComment>
  <x18tc:threadedComment ref="E267" dT="2024-10-15T19:48:39.00" personId="{9c0aebe9-b29b-46bc-824b-5c102ff6f9db}" id="{6954bcce-a249-4f99-9997-876f9b670018}" done="0">
    <x18tc:text xml:space="preserve">F50 shoes for football</x18tc:text>
  </x18tc:threadedComment>
  <x18tc:threadedComment ref="G121" dT="2024-05-12T07:37:53.00" personId="{9c0aebe9-b29b-46bc-824b-5c102ff6f9db}" id="{a93f7929-4719-4ddd-9a90-451a0d65296d}" done="0">
    <x18tc:text xml:space="preserve">Bertis - mici,zakuszka</x18tc:text>
  </x18tc:threadedComment>
  <x18tc:threadedComment ref="E266" dT="2024-10-15T19:48:52.00" personId="{9c0aebe9-b29b-46bc-824b-5c102ff6f9db}" id="{c52a484e-580e-4c3f-b918-9a6745803bab}" done="0">
    <x18tc:text xml:space="preserve">medicine for sickness</x18tc:text>
  </x18tc:threadedComment>
  <x18tc:threadedComment ref="I131" dT="2024-05-24T13:49:56.00" personId="{9c0aebe9-b29b-46bc-824b-5c102ff6f9db}" id="{609de2d7-3734-4de7-92be-a1e4e093a5ec}" done="0">
    <x18tc:text xml:space="preserve">Ana - gift</x18tc:text>
  </x18tc:threadedComment>
  <x18tc:threadedComment ref="K10" dT="2024-01-24T15:23:09.00" personId="{9c0aebe9-b29b-46bc-824b-5c102ff6f9db}" id="{29119a22-6a2e-44ec-b9f4-2bc3399e860a}" done="0">
    <x18tc:text xml:space="preserve">condom (16k)</x18tc:text>
  </x18tc:threadedComment>
  <x18tc:threadedComment ref="E133" dT="2024-05-04T11:46:00.00" personId="{9c0aebe9-b29b-46bc-824b-5c102ff6f9db}" id="{95e5867d-6695-43f4-ada3-8d7a8c209632}" done="0">
    <x18tc:text xml:space="preserve">Scratcher for the cat</x18tc:text>
  </x18tc:threadedComment>
  <x18tc:threadedComment ref="G161" dT="2024-06-13T15:52:21.00" personId="{9c0aebe9-b29b-46bc-824b-5c102ff6f9db}" id="{eba534ff-84d8-4f3e-8257-55d39beba71f}" done="0">
    <x18tc:text xml:space="preserve">Gift to mom</x18tc:text>
  </x18tc:threadedComment>
  <x18tc:threadedComment ref="G159" dT="2024-06-13T15:52:47.00" personId="{9c0aebe9-b29b-46bc-824b-5c102ff6f9db}" id="{cecfc492-247b-475c-b335-328b3340ac30}" done="0">
    <x18tc:text xml:space="preserve">Flower for Ana - 12th june</x18tc:text>
  </x18tc:threadedComment>
  <x18tc:threadedComment ref="M125" dT="2024-06-01T12:48:49.00" personId="{9c0aebe9-b29b-46bc-824b-5c102ff6f9db}" id="{d4d15b73-5f93-4b06-99db-3026d92a4d45}" done="0">
    <x18tc:text xml:space="preserve">Asrock monitor</x18tc:text>
  </x18tc:threadedComment>
  <x18tc:threadedComment ref="M124" dT="2024-06-01T07:20:47.00" personId="{9c0aebe9-b29b-46bc-824b-5c102ff6f9db}" id="{d6dc0c19-e176-49bb-acf5-abd04a60f383}" done="0">
    <x18tc:text xml:space="preserve">corona light</x18tc:text>
  </x18tc:threadedComment>
  <x18tc:threadedComment ref="E138" dT="2024-05-04T11:49:13.00" personId="{9c0aebe9-b29b-46bc-824b-5c102ff6f9db}" id="{1471e257-9856-4356-a492-aebe3472e42b}" done="0">
    <x18tc:text xml:space="preserve">bonus from DT</x18tc:text>
  </x18tc:threadedComment>
  <x18tc:threadedComment ref="K155" dT="2024-06-27T13:54:44.00" personId="{9c0aebe9-b29b-46bc-824b-5c102ff6f9db}" id="{7b98923a-5e1d-47a6-bd9b-58da5468fe3e}" done="0">
    <x18tc:text xml:space="preserve">invictus perfume</x18tc:text>
  </x18tc:threadedComment>
  <x18tc:threadedComment ref="K194" dT="2024-07-31T10:09:05.00" personId="{9c0aebe9-b29b-46bc-824b-5c102ff6f9db}" id="{e61ecd19-3f7f-4c22-828c-d858dde1ec1c}" done="0">
    <x18tc:text xml:space="preserve">sold AOC monitor</x18tc:text>
  </x18tc:threadedComment>
  <x18tc:threadedComment ref="I46" dT="2024-02-25T10:05:38.00" personId="{9c0aebe9-b29b-46bc-824b-5c102ff6f9db}" id="{cef71844-5f9b-4269-b5c1-72f3619f3470}" done="0">
    <x18tc:text xml:space="preserve">DIGI mobil</x18tc:text>
  </x18tc:threadedComment>
  <x18tc:threadedComment ref="G133" dT="2024-05-13T07:22:30.00" personId="{9c0aebe9-b29b-46bc-824b-5c102ff6f9db}" id="{a1b18fd5-01c3-4b4a-bb5b-916dc8f042dc}" done="0">
    <x18tc:text xml:space="preserve">Riverside 100 Bike with accessories</x18tc:text>
  </x18tc:threadedComment>
  <x18tc:threadedComment ref="E46" dT="2024-02-12T10:07:01.00" personId="{9c0aebe9-b29b-46bc-824b-5c102ff6f9db}" id="{e99e197d-0ac2-4f3e-b17e-90d9efc97c51}" done="0">
    <x18tc:text xml:space="preserve">icloud</x18tc:text>
  </x18tc:threadedComment>
  <x18tc:threadedComment ref="K40" dT="2024-02-25T10:07:40.00" personId="{9c0aebe9-b29b-46bc-824b-5c102ff6f9db}" id="{ab5671c4-ba42-490a-8f42-fd7344aa541a}" done="0">
    <x18tc:text xml:space="preserve">cappuccino - me &amp; Ana</x18tc:text>
  </x18tc:threadedComment>
  <x18tc:threadedComment ref="K54" dT="2024-02-25T10:07:54.00" personId="{9c0aebe9-b29b-46bc-824b-5c102ff6f9db}" id="{1249f8e1-6259-48be-acbc-d4c258b4f3fe}" done="0">
    <x18tc:text xml:space="preserve">REFund pending</x18tc:text>
  </x18tc:threadedComment>
  <x18tc:threadedComment ref="K41" dT="2024-02-25T10:06:44.00" personId="{9c0aebe9-b29b-46bc-824b-5c102ff6f9db}" id="{ef8c563d-f613-4467-8b5b-a84f328859fd}" done="0">
    <x18tc:text xml:space="preserve">logi m650 - returned</x18tc:text>
  </x18tc:threadedComment>
  <x18tc:threadedComment ref="M30" dT="2024-02-25T10:06:59.00" personId="{9c0aebe9-b29b-46bc-824b-5c102ff6f9db}" id="{7f94523b-c84f-486e-9c76-a77077b4c1e5}" done="1">
    <x18tc:text xml:space="preserve">- waiting for Logi M650 return money</x18tc:text>
  </x18tc:threadedComment>
  <x18tc:threadedComment ref="K266" dT="2024-10-22T20:26:56.00" personId="{9c0aebe9-b29b-46bc-824b-5c102ff6f9db}" id="{8144c92a-d456-4f63-a008-912d0954a651}" done="0">
    <x18tc:text xml:space="preserve">fitness</x18tc:text>
  </x18tc:threadedComment>
  <x18tc:threadedComment ref="I240" dT="2024-09-27T21:26:01.00" personId="{9c0aebe9-b29b-46bc-824b-5c102ff6f9db}" id="{6f04bc31-fc30-43cb-979a-a895b90917eb}" done="0">
    <x18tc:text xml:space="preserve">Trip - Holland (Eindhoven+Utrecht)</x18tc:text>
  </x18tc:threadedComment>
  <x18tc:threadedComment ref="M159" dT="2024-07-03T19:08:21.00" personId="{9c0aebe9-b29b-46bc-824b-5c102ff6f9db}" id="{4de35dff-8bf8-4a4f-ab16-9e6a1badccd7}" done="0">
    <x18tc:text xml:space="preserve">Scorpion tickets - Amanda &amp; Ana</x18tc:text>
  </x18tc:threadedComment>
  <x18tc:threadedComment ref="G54" dT="2024-02-16T08:32:30.00" personId="{9c0aebe9-b29b-46bc-824b-5c102ff6f9db}" id="{e42581b3-8992-45c1-8df9-8b22fc68ac3a}" done="0">
    <x18tc:text xml:space="preserve">sold laptop</x18tc:text>
  </x18tc:threadedComment>
  <x18tc:threadedComment ref="K217" dT="2024-08-26T12:36:20.00" personId="{9c0aebe9-b29b-46bc-824b-5c102ff6f9db}" id="{666465df-9c50-4649-b0dd-d41a05756ba5}" done="0">
    <x18tc:text xml:space="preserve">deposit</x18tc:text>
  </x18tc:threadedComment>
  <x18tc:threadedComment ref="G42" dT="2024-02-12T10:01:03.00" personId="{9c0aebe9-b29b-46bc-824b-5c102ff6f9db}" id="{f1f40f43-e83d-4540-b0b0-cf76f7536b6c}" done="0">
    <x18tc:text xml:space="preserve">massage</x18tc:text>
  </x18tc:threadedComment>
  <x18tc:threadedComment ref="K240" dT="2024-09-27T21:45:00.00" personId="{9c0aebe9-b29b-46bc-824b-5c102ff6f9db}" id="{4a4bd079-f0f1-4ff4-93aa-4b81431b75a6}" done="0">
    <x18tc:text xml:space="preserve">Trip to Holland - Rotterdam -&gt; The Hague -&gt; Amsterdam
+ Acommodation in amsterdam - 64k</x18tc:text>
  </x18tc:threadedComment>
  <x18tc:threadedComment ref="I54" dT="2024-02-16T08:32:46.00" personId="{9c0aebe9-b29b-46bc-824b-5c102ff6f9db}" id="{a569f00e-8151-4d6d-a019-a0e70ec873fd}" done="0">
    <x18tc:text xml:space="preserve">sold samsaung a40 phone</x18tc:text>
  </x18tc:threadedComment>
  <x18tc:threadedComment ref="I132" dT="2024-05-16T15:23:11.00" personId="{9c0aebe9-b29b-46bc-824b-5c102ff6f9db}" id="{3b6a0407-a73f-47a6-a0e2-68556b61a693}" done="0">
    <x18tc:text xml:space="preserve">comic con - jerome flynn</x18tc:text>
  </x18tc:threadedComment>
  <x18tc:threadedComment ref="I132" dT="2024-05-24T13:49:22.00" personId="{9c0aebe9-b29b-46bc-824b-5c102ff6f9db}" id="{2e384fa9-a4f1-4958-a085-d237f3b267e0}" parentId="{3b6a0407-a73f-47a6-a0e2-68556b61a693}">
    <x18tc:text xml:space="preserve">gokart</x18tc:text>
  </x18tc:threadedComment>
  <x18tc:threadedComment ref="K237" dT="2024-09-27T22:18:11.00" personId="{9c0aebe9-b29b-46bc-824b-5c102ff6f9db}" id="{51cd2231-cbfa-48eb-8fcf-ae8f64b8eead}" done="0">
    <x18tc:text xml:space="preserve">Amazon - monitor arm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99" dT="2023-11-05T10:53:28.00" personId="{9c0aebe9-b29b-46bc-824b-5c102ff6f9db}" id="{74ba1481-5102-4b20-a84a-fcf2406aa02f}" done="0">
    <x18tc:text xml:space="preserve">Bartók House - cafe with Ana</x18tc:text>
  </x18tc:threadedComment>
  <x18tc:threadedComment ref="H127" dT="2023-05-14T08:37:33.00" personId="{9c0aebe9-b29b-46bc-824b-5c102ff6f9db}" id="{df0eb799-af26-4c88-9132-65f588960653}" done="0">
    <x18tc:text xml:space="preserve">mozi - galaxis orzoi 3</x18tc:text>
  </x18tc:threadedComment>
  <x18tc:threadedComment ref="H117" dT="2023-05-14T08:43:02.00" personId="{9c0aebe9-b29b-46bc-824b-5c102ff6f9db}" id="{4c676e7d-54aa-4294-ab90-b50d881bc057}" done="0">
    <x18tc:text xml:space="preserve">ikea - towel</x18tc:text>
  </x18tc:threadedComment>
  <x18tc:threadedComment ref="H118" dT="2023-05-14T08:37:42.00" personId="{9c0aebe9-b29b-46bc-824b-5c102ff6f9db}" id="{4928cb0c-2f7f-4615-8788-a79145da2a82}" done="0">
    <x18tc:text xml:space="preserve">nachos</x18tc:text>
  </x18tc:threadedComment>
  <x18tc:threadedComment ref="L267" dT="2023-11-05T09:40:46.00" personId="{9c0aebe9-b29b-46bc-824b-5c102ff6f9db}" id="{97784a60-b1c3-49c8-b3a8-9b6eee56d8d6}" done="0">
    <x18tc:text xml:space="preserve">cinema city</x18tc:text>
  </x18tc:threadedComment>
  <x18tc:threadedComment ref="H133" dT="2023-05-14T08:45:09.00" personId="{9c0aebe9-b29b-46bc-824b-5c102ff6f9db}" id="{839ee221-dcb2-4b2f-b0bd-1acdc5e37965}" done="0">
    <x18tc:text xml:space="preserve">helixsoft payment</x18tc:text>
  </x18tc:threadedComment>
  <x18tc:threadedComment ref="F121" dT="2023-05-14T08:30:19.00" personId="{9c0aebe9-b29b-46bc-824b-5c102ff6f9db}" id="{579797db-25d0-43b4-ac68-8dec521c4588}" done="0">
    <x18tc:text xml:space="preserve">massage</x18tc:text>
  </x18tc:threadedComment>
  <x18tc:threadedComment ref="H95" dT="2023-04-14T17:07:54.00" personId="{9c0aebe9-b29b-46bc-824b-5c102ff6f9db}" id="{4a0e018e-905b-4a29-a2e6-64eaac0933ae}" done="0">
    <x18tc:text xml:space="preserve">footshop - 3x adidas socks</x18tc:text>
  </x18tc:threadedComment>
  <x18tc:threadedComment ref="H95" dT="2023-04-14T17:11:11.00" personId="{9c0aebe9-b29b-46bc-824b-5c102ff6f9db}" id="{e536638e-7d81-4de6-b077-2a4bc1d3a08d}" parentId="{4a0e018e-905b-4a29-a2e6-64eaac0933ae}">
    <x18tc:text xml:space="preserve">zara - black tag intense perfume</x18tc:text>
  </x18tc:threadedComment>
  <x18tc:threadedComment ref="F307" dT="2023-11-05T10:51:53.00" personId="{9c0aebe9-b29b-46bc-824b-5c102ff6f9db}" id="{7a248d2e-750c-4f81-b0cd-df786d3dc655}" done="0">
    <x18tc:text xml:space="preserve">HUN - MON meccsjegy</x18tc:text>
  </x18tc:threadedComment>
  <x18tc:threadedComment ref="H91" dT="2023-04-14T17:09:30.00" personId="{9c0aebe9-b29b-46bc-824b-5c102ff6f9db}" id="{5bd90481-d55f-497f-a711-3d7947a4b9e2}" done="0">
    <x18tc:text xml:space="preserve">drum cafe with hiago</x18tc:text>
  </x18tc:threadedComment>
  <x18tc:threadedComment ref="H267" dT="2023-10-21T16:31:57.00" personId="{9c0aebe9-b29b-46bc-824b-5c102ff6f9db}" id="{a816dc1d-e24f-489d-9b74-770cfe8a25fc}" done="0">
    <x18tc:text xml:space="preserve">simon's burger with Ana</x18tc:text>
  </x18tc:threadedComment>
  <x18tc:threadedComment ref="H267" dT="2023-10-21T16:33:05.00" personId="{9c0aebe9-b29b-46bc-824b-5c102ff6f9db}" id="{79dc6511-9f97-446c-9ab1-17c74857a823}" parentId="{a816dc1d-e24f-489d-9b74-770cfe8a25fc}">
    <x18tc:text xml:space="preserve">A la gringa with Ana - 1 month</x18tc:text>
  </x18tc:threadedComment>
  <x18tc:threadedComment ref="L94" dT="2023-04-27T16:30:30.00" personId="{9c0aebe9-b29b-46bc-824b-5c102ff6f9db}" id="{462a52a4-9c42-46b3-b291-177548d428fb}" done="0">
    <x18tc:text xml:space="preserve">dentist</x18tc:text>
  </x18tc:threadedComment>
  <x18tc:threadedComment ref="L94" dT="2023-05-04T06:08:08.00" personId="{9c0aebe9-b29b-46bc-824b-5c102ff6f9db}" id="{967952e3-6db0-4fb0-9946-5865c1ef6dc0}" parentId="{462a52a4-9c42-46b3-b291-177548d428fb}">
    <x18tc:text xml:space="preserve">massage</x18tc:text>
  </x18tc:threadedComment>
  <x18tc:threadedComment ref="N268" dT="2023-11-05T09:49:55.00" personId="{9c0aebe9-b29b-46bc-824b-5c102ff6f9db}" id="{f0c61740-8c3d-42bd-ad88-a2b0a2a7266f}" done="0">
    <x18tc:text xml:space="preserve">brazilian halloween party</x18tc:text>
  </x18tc:threadedComment>
  <x18tc:threadedComment ref="N118" dT="2023-05-31T06:54:38.00" personId="{9c0aebe9-b29b-46bc-824b-5c102ff6f9db}" id="{26b5aa39-1b89-4c23-9356-84c022860841}" done="0">
    <x18tc:text xml:space="preserve">bartok fagyi + gellert pekseg - tejfolos tekercs</x18tc:text>
  </x18tc:threadedComment>
  <x18tc:threadedComment ref="N118" dT="2023-05-31T06:56:39.00" personId="{9c0aebe9-b29b-46bc-824b-5c102ff6f9db}" id="{09d51d28-cf00-4aa8-947b-a863dc63ee02}" parentId="{26b5aa39-1b89-4c23-9356-84c022860841}">
    <x18tc:text xml:space="preserve">vapiano - wolt order</x18tc:text>
  </x18tc:threadedComment>
  <x18tc:threadedComment ref="L101" dT="2023-04-27T16:21:31.00" personId="{9c0aebe9-b29b-46bc-824b-5c102ff6f9db}" id="{995e2e93-dd4d-4129-97e4-688581013541}" done="0">
    <x18tc:text xml:space="preserve">kepkeret</x18tc:text>
  </x18tc:threadedComment>
  <x18tc:threadedComment ref="N274" dT="2023-11-05T09:53:17.00" personId="{9c0aebe9-b29b-46bc-824b-5c102ff6f9db}" id="{56baf6bd-66f1-46ff-9bae-f385f0c04f79}" done="0">
    <x18tc:text xml:space="preserve">digi phone</x18tc:text>
  </x18tc:threadedComment>
  <x18tc:threadedComment ref="L276" dT="2023-11-05T09:41:08.00" personId="{9c0aebe9-b29b-46bc-824b-5c102ff6f9db}" id="{74f08c1e-923b-4c78-90ee-63f36bc14586}" done="0">
    <x18tc:text xml:space="preserve">cinema mammut - megfojtott viragok</x18tc:text>
  </x18tc:threadedComment>
  <x18tc:threadedComment ref="L276" dT="2023-11-05T09:46:55.00" personId="{9c0aebe9-b29b-46bc-824b-5c102ff6f9db}" id="{7060b3a5-d340-4023-8f23-1d85ba9bae62}" parentId="{74f08c1e-923b-4c78-90ee-63f36bc14586}">
    <x18tc:text xml:space="preserve">bob ross - paroka</x18tc:text>
  </x18tc:threadedComment>
  <x18tc:threadedComment ref="L270" dT="2023-11-05T09:44:16.00" personId="{9c0aebe9-b29b-46bc-824b-5c102ff6f9db}" id="{522c6921-8ab9-458d-8782-094d2eb30cda}" done="0">
    <x18tc:text xml:space="preserve">dentist</x18tc:text>
  </x18tc:threadedComment>
  <x18tc:threadedComment ref="L123" dT="2023-05-31T07:01:16.00" personId="{9c0aebe9-b29b-46bc-824b-5c102ff6f9db}" id="{73862bbc-df08-4b4a-9814-e766e620ba4d}" done="0">
    <x18tc:text xml:space="preserve">DRESDEN TRIP - TOTAL ~549,17 euro spent 
(including food, drinks, transport, museum, fashion, accommodation &amp; other categories)</x18tc:text>
  </x18tc:threadedComment>
  <x18tc:threadedComment ref="J275" dT="2023-10-21T16:33:52.00" personId="{9c0aebe9-b29b-46bc-824b-5c102ff6f9db}" id="{102abfa4-3ad5-4d0a-b7d6-054ffa512902}" done="0">
    <x18tc:text xml:space="preserve">rizmajer for Attila</x18tc:text>
  </x18tc:threadedComment>
  <x18tc:threadedComment ref="N270" dT="2023-11-05T09:44:22.00" personId="{9c0aebe9-b29b-46bc-824b-5c102ff6f9db}" id="{2706cadf-6a64-46d6-ad8c-9e1ce8fd18b2}" done="0">
    <x18tc:text xml:space="preserve">dentist</x18tc:text>
  </x18tc:threadedComment>
  <x18tc:threadedComment ref="L128" dT="2023-05-31T06:55:53.00" personId="{9c0aebe9-b29b-46bc-824b-5c102ff6f9db}" id="{ac0d82d0-9a3b-4004-aa94-8c763407c605}" done="0">
    <x18tc:text xml:space="preserve">wittchen - borond</x18tc:text>
  </x18tc:threadedComment>
  <x18tc:threadedComment ref="J18" dT="2023-01-19T12:58:46.00" personId="{9c0aebe9-b29b-46bc-824b-5c102ff6f9db}" id="{75829455-aa64-4113-9c5d-86a7fc7aed55}" done="0">
    <x18tc:text xml:space="preserve">NETFLIX X2</x18tc:text>
  </x18tc:threadedComment>
  <x18tc:threadedComment ref="L275" dT="2023-11-05T09:46:06.00" personId="{9c0aebe9-b29b-46bc-824b-5c102ff6f9db}" id="{f633ea38-5a18-42b8-abfa-018836723278}" done="0">
    <x18tc:text xml:space="preserve">indigo</x18tc:text>
  </x18tc:threadedComment>
  <x18tc:threadedComment ref="H275" dT="2023-10-21T16:32:27.00" personId="{9c0aebe9-b29b-46bc-824b-5c102ff6f9db}" id="{2d1402a7-a874-49cf-beed-52a576d9e8fa}" done="0">
    <x18tc:text xml:space="preserve">Ana - for the desk</x18tc:text>
  </x18tc:threadedComment>
  <x18tc:threadedComment ref="H275" dT="2023-10-22T09:38:21.00" personId="{9c0aebe9-b29b-46bc-824b-5c102ff6f9db}" id="{7bf5002c-914d-453f-8f29-ffd90cfac31b}" parentId="{2d1402a7-a874-49cf-beed-52a576d9e8fa}">
    <x18tc:text xml:space="preserve">Ana - intimissi</x18tc:text>
  </x18tc:threadedComment>
  <x18tc:threadedComment ref="H305" dT="2023-11-15T07:35:43.00" personId="{9c0aebe9-b29b-46bc-824b-5c102ff6f9db}" id="{c288d715-77b1-4047-870c-5a5fbb4aa9c0}" done="0">
    <x18tc:text xml:space="preserve">youtube music</x18tc:text>
  </x18tc:threadedComment>
  <x18tc:threadedComment ref="H305" dT="2023-11-15T07:41:00.00" personId="{9c0aebe9-b29b-46bc-824b-5c102ff6f9db}" id="{e417c2a9-5b2a-4793-8f27-bbe93ae776ef}" parentId="{c288d715-77b1-4047-870c-5a5fbb4aa9c0}">
    <x18tc:text xml:space="preserve">disney+</x18tc:text>
  </x18tc:threadedComment>
  <x18tc:threadedComment ref="H17" dT="2023-01-19T12:54:22.00" personId="{9c0aebe9-b29b-46bc-824b-5c102ff6f9db}" id="{ffee2d0a-debe-4c9e-ab6e-8382eea9f7a2}" done="0">
    <x18tc:text xml:space="preserve">BKK berlet</x18tc:text>
  </x18tc:threadedComment>
  <x18tc:threadedComment ref="H296" dT="2023-11-15T07:41:52.00" personId="{9c0aebe9-b29b-46bc-824b-5c102ff6f9db}" id="{f51f30b0-5aa5-4ddf-aec4-605c20cfa4ce}" done="0">
    <x18tc:text xml:space="preserve">+ingredients for Escondidinho</x18tc:text>
  </x18tc:threadedComment>
  <x18tc:threadedComment ref="F122" dT="2023-05-04T06:10:02.00" personId="{9c0aebe9-b29b-46bc-824b-5c102ff6f9db}" id="{936be8bf-6c61-4059-a6d8-0f646c8db185}" done="0">
    <x18tc:text xml:space="preserve">haircut</x18tc:text>
  </x18tc:threadedComment>
  <x18tc:threadedComment ref="H307" dT="2023-11-15T07:40:14.00" personId="{9c0aebe9-b29b-46bc-824b-5c102ff6f9db}" id="{d859c4b9-acd7-40e0-a96b-2464f058a555}" done="0">
    <x18tc:text xml:space="preserve">Hot paprika show  - Tickets x2</x18tc:text>
  </x18tc:threadedComment>
  <x18tc:threadedComment ref="H298" dT="2023-11-15T07:39:28.00" personId="{9c0aebe9-b29b-46bc-824b-5c102ff6f9db}" id="{bbd5f434-1f14-49e8-9fc6-d978b396adee}" done="0">
    <x18tc:text xml:space="preserve">cake from Amanda</x18tc:text>
  </x18tc:threadedComment>
  <x18tc:threadedComment ref="F117" dT="2023-05-14T08:36:40.00" personId="{9c0aebe9-b29b-46bc-824b-5c102ff6f9db}" id="{fe7bd447-e32e-49e0-94b2-7b9c27fd9505}" done="0">
    <x18tc:text xml:space="preserve">5299 - condom</x18tc:text>
  </x18tc:threadedComment>
  <x18tc:threadedComment ref="F117" dT="2023-05-14T08:37:12.00" personId="{9c0aebe9-b29b-46bc-824b-5c102ff6f9db}" id="{fd4251b6-6a53-43b3-a8fe-63ecd41bbd1f}" parentId="{fe7bd447-e32e-49e0-94b2-7b9c27fd9505}">
    <x18tc:text xml:space="preserve">2500 - pulp fiction tabla</x18tc:text>
  </x18tc:threadedComment>
  <x18tc:threadedComment ref="L95" dT="2023-04-27T16:31:55.00" personId="{9c0aebe9-b29b-46bc-824b-5c102ff6f9db}" id="{ec3b89c9-a9d0-4595-8f1f-f7307d7a9f97}" done="0">
    <x18tc:text xml:space="preserve">napszemcsi</x18tc:text>
  </x18tc:threadedComment>
  <x18tc:threadedComment ref="L95" dT="2023-04-27T16:32:01.00" personId="{9c0aebe9-b29b-46bc-824b-5c102ff6f9db}" id="{65634f83-6663-4ad3-bfad-8aabcded62ce}" parentId="{ec3b89c9-a9d0-4595-8f1f-f7307d7a9f97}">
    <x18tc:text xml:space="preserve">bethrifty - shirt</x18tc:text>
  </x18tc:threadedComment>
  <x18tc:threadedComment ref="L95" dT="2023-04-27T16:32:09.00" personId="{9c0aebe9-b29b-46bc-824b-5c102ff6f9db}" id="{d3723bf7-cc37-42df-9449-ecc72ce2e8dd}" parentId="{ec3b89c9-a9d0-4595-8f1f-f7307d7a9f97}">
    <x18tc:text xml:space="preserve">TNF NUPTSE 1996</x18tc:text>
  </x18tc:threadedComment>
  <x18tc:threadedComment ref="L277" dT="2023-11-05T09:39:32.00" personId="{9c0aebe9-b29b-46bc-824b-5c102ff6f9db}" id="{e81d3afb-bfc2-4755-a0ae-0b03bf2249a3}" done="0">
    <x18tc:text xml:space="preserve">back from dresden</x18tc:text>
  </x18tc:threadedComment>
  <x18tc:threadedComment ref="L277" dT="2023-11-05T09:39:44.00" personId="{9c0aebe9-b29b-46bc-824b-5c102ff6f9db}" id="{e92388b9-a337-431f-9709-4ab1e7b95d58}" parentId="{e81d3afb-bfc2-4755-a0ae-0b03bf2249a3}">
    <x18tc:text xml:space="preserve">21.10</x18tc:text>
  </x18tc:threadedComment>
  <x18tc:threadedComment ref="F267" dT="2023-10-08T11:19:35.00" personId="{9c0aebe9-b29b-46bc-824b-5c102ff6f9db}" id="{40506152-34d7-454e-8549-361c1f7936da}" done="0">
    <x18tc:text xml:space="preserve">pizza manufaktura</x18tc:text>
  </x18tc:threadedComment>
  <x18tc:threadedComment ref="J267" dT="2023-10-21T16:36:42.00" personId="{9c0aebe9-b29b-46bc-824b-5c102ff6f9db}" id="{9ca3b268-8f1c-4fc9-b27c-7a121b47a275}" done="0">
    <x18tc:text xml:space="preserve">Pho with Theo</x18tc:text>
  </x18tc:threadedComment>
  <x18tc:threadedComment ref="J305" dT="2023-11-15T07:35:51.00" personId="{9c0aebe9-b29b-46bc-824b-5c102ff6f9db}" id="{7664485b-f83d-4e49-9609-46474fe4b566}" done="0">
    <x18tc:text xml:space="preserve">digi mobil</x18tc:text>
  </x18tc:threadedComment>
  <x18tc:threadedComment ref="J272" dT="2023-10-21T16:35:35.00" personId="{9c0aebe9-b29b-46bc-824b-5c102ff6f9db}" id="{17cf0193-bc08-40b9-a1ab-520a1fc7c891}" done="0">
    <x18tc:text xml:space="preserve">to Prague with Ana
Összesen 1 reakció
Ervin Dobri ezzel reagált: 🥰 (2023-11-05 9:59 AM UTC)</x18tc:text>
  </x18tc:threadedComment>
  <x18tc:threadedComment ref="H306" dT="2023-11-15T07:36:39.00" personId="{9c0aebe9-b29b-46bc-824b-5c102ff6f9db}" id="{d79a0cf7-73af-4f4b-b295-a9ea5e8d92e8}" done="0">
    <x18tc:text xml:space="preserve">gift to Amanda</x18tc:text>
  </x18tc:threadedComment>
  <x18tc:threadedComment ref="J297" dT="2023-11-15T07:36:06.00" personId="{9c0aebe9-b29b-46bc-824b-5c102ff6f9db}" id="{c9e05f23-33af-4f75-a6aa-84ac010e25bc}" done="0">
    <x18tc:text xml:space="preserve">LACK asztal</x18tc:text>
  </x18tc:threadedComment>
  <x18tc:threadedComment ref="J299" dT="2023-11-20T12:25:22.00" personId="{9c0aebe9-b29b-46bc-824b-5c102ff6f9db}" id="{dcd77121-52a4-4137-9f51-670c8e8ab373}" done="0">
    <x18tc:text xml:space="preserve">2xcappuccino from zabrakadabra</x18tc:text>
  </x18tc:threadedComment>
  <x18tc:threadedComment ref="F101" dT="2023-04-20T06:16:24.00" personId="{9c0aebe9-b29b-46bc-824b-5c102ff6f9db}" id="{ba2728bd-7afa-4815-8c52-e77db18eb41b}" done="0">
    <x18tc:text xml:space="preserve">Kendrick poster</x18tc:text>
  </x18tc:threadedComment>
  <x18tc:threadedComment ref="J300" dT="2023-11-20T12:22:39.00" personId="{9c0aebe9-b29b-46bc-824b-5c102ff6f9db}" id="{1252fe1a-f4ce-42cc-ac68-24c60977f351}" done="0">
    <x18tc:text xml:space="preserve">DAN A4-SFX v3</x18tc:text>
  </x18tc:threadedComment>
  <x18tc:threadedComment ref="J88" dT="2023-04-20T06:18:28.00" personId="{9c0aebe9-b29b-46bc-824b-5c102ff6f9db}" id="{29340634-dffa-4783-aace-fc6aea47be03}" done="0">
    <x18tc:text xml:space="preserve">digi phone</x18tc:text>
  </x18tc:threadedComment>
  <x18tc:threadedComment ref="J337" dT="2023-12-17T14:16:50.00" personId="{9c0aebe9-b29b-46bc-824b-5c102ff6f9db}" id="{db17c348-e323-4657-8ee6-5a7f4af2f06d}" done="0">
    <x18tc:text xml:space="preserve">Date in Babka</x18tc:text>
  </x18tc:threadedComment>
  <x18tc:threadedComment ref="J97" dT="2023-04-20T06:16:57.00" personId="{9c0aebe9-b29b-46bc-824b-5c102ff6f9db}" id="{eb83707e-0b4b-486c-bafa-34a62da50983}" done="0">
    <x18tc:text xml:space="preserve">mol bubi</x18tc:text>
  </x18tc:threadedComment>
  <x18tc:threadedComment ref="L302" dT="2023-11-29T11:15:30.00" personId="{9c0aebe9-b29b-46bc-824b-5c102ff6f9db}" id="{0510f7b9-449b-4c56-97a5-9737cbdea002}" done="0">
    <x18tc:text xml:space="preserve">adidas - red sweatshirt</x18tc:text>
  </x18tc:threadedComment>
  <x18tc:threadedComment ref="L308" dT="2023-11-29T11:16:23.00" personId="{9c0aebe9-b29b-46bc-824b-5c102ff6f9db}" id="{b72ffa09-2d37-49b0-a39b-e1245d2094e3}" done="0">
    <x18tc:text xml:space="preserve">passport 5year</x18tc:text>
  </x18tc:threadedComment>
  <x18tc:threadedComment ref="H94" dT="2023-04-20T06:22:48.00" personId="{9c0aebe9-b29b-46bc-824b-5c102ff6f9db}" id="{ce8138ee-2b9e-4667-9f4a-60ee23c5c7e1}" done="0">
    <x18tc:text xml:space="preserve">neocitran</x18tc:text>
  </x18tc:threadedComment>
  <x18tc:threadedComment ref="H94" dT="2023-05-04T06:07:52.00" personId="{9c0aebe9-b29b-46bc-824b-5c102ff6f9db}" id="{8b8eded8-9444-4601-9cc4-950fa57aa9d6}" parentId="{ce8138ee-2b9e-4667-9f4a-60ee23c5c7e1}">
    <x18tc:text xml:space="preserve">massage</x18tc:text>
  </x18tc:threadedComment>
  <x18tc:threadedComment ref="H308" dT="2023-11-15T07:38:44.00" personId="{9c0aebe9-b29b-46bc-824b-5c102ff6f9db}" id="{09c6931a-23ba-4cbd-9536-29bfe8f5b80e}" done="0">
    <x18tc:text xml:space="preserve">temu order</x18tc:text>
  </x18tc:threadedComment>
  <x18tc:threadedComment ref="N211" dT="2023-09-17T12:09:51.00" personId="{9c0aebe9-b29b-46bc-824b-5c102ff6f9db}" id="{78e4f81d-4f3a-44bc-9635-4e7d6a23fee0}" done="0">
    <x18tc:text xml:space="preserve">bolt</x18tc:text>
  </x18tc:threadedComment>
  <x18tc:threadedComment ref="H115" dT="2023-05-31T07:07:31.00" personId="{9c0aebe9-b29b-46bc-824b-5c102ff6f9db}" id="{af0bc9ac-4c6a-433a-b70d-b0fe652f7873}" done="0">
    <x18tc:text xml:space="preserve">5521 - telekom april bill</x18tc:text>
  </x18tc:threadedComment>
  <x18tc:threadedComment ref="L339" dT="2023-12-26T10:21:20.00" personId="{9c0aebe9-b29b-46bc-824b-5c102ff6f9db}" id="{b5473d41-84c3-4aa3-b143-6ecdd18fc850}" done="0">
    <x18tc:text xml:space="preserve">christmas dinner</x18tc:text>
  </x18tc:threadedComment>
  <x18tc:threadedComment ref="N115" dT="2023-05-31T07:07:39.00" personId="{9c0aebe9-b29b-46bc-824b-5c102ff6f9db}" id="{fcc564eb-766d-4c07-a080-345ea7710513}" done="0">
    <x18tc:text xml:space="preserve">telekom - may</x18tc:text>
  </x18tc:threadedComment>
  <x18tc:threadedComment ref="L69" dT="2023-04-07T13:20:27.00" personId="{9c0aebe9-b29b-46bc-824b-5c102ff6f9db}" id="{cbe2aef8-b05e-406f-a1c5-a87241d0811c}" done="0">
    <x18tc:text xml:space="preserve">mango - shirt + polo;
c&amp;a - shirt</x18tc:text>
  </x18tc:threadedComment>
  <x18tc:threadedComment ref="J331" dT="2023-12-26T10:17:41.00" personId="{9c0aebe9-b29b-46bc-824b-5c102ff6f9db}" id="{03b5dd1b-14b5-419b-b31d-3ef13bf3ff16}" done="0">
    <x18tc:text xml:space="preserve">ea fc 24</x18tc:text>
  </x18tc:threadedComment>
  <x18tc:threadedComment ref="J151" dT="2023-06-22T08:43:53.00" personId="{9c0aebe9-b29b-46bc-824b-5c102ff6f9db}" id="{d2b2237d-7771-41e1-b01e-1dbe02a4af7d}" done="0">
    <x18tc:text xml:space="preserve">Flight 08.17-08.21</x18tc:text>
  </x18tc:threadedComment>
  <x18tc:threadedComment ref="N65" dT="2023-04-07T13:23:20.00" personId="{9c0aebe9-b29b-46bc-824b-5c102ff6f9db}" id="{582283a9-35bd-4073-828e-96584f4a62e3}" done="0">
    <x18tc:text xml:space="preserve">9310 - trattoria za za date</x18tc:text>
  </x18tc:threadedComment>
  <x18tc:threadedComment ref="L330" dT="2023-12-26T10:18:45.00" personId="{9c0aebe9-b29b-46bc-824b-5c102ff6f9db}" id="{0680b6d8-0b80-4b42-8833-a607b0cf5d80}" done="0">
    <x18tc:text xml:space="preserve">cafe mr. beans</x18tc:text>
  </x18tc:threadedComment>
  <x18tc:threadedComment ref="J302" dT="2023-11-15T11:05:27.00" personId="{9c0aebe9-b29b-46bc-824b-5c102ff6f9db}" id="{057d7da6-b0a4-4b62-89b7-fa50f7bf196c}" done="0">
    <x18tc:text xml:space="preserve">ZARA - socks</x18tc:text>
  </x18tc:threadedComment>
  <x18tc:threadedComment ref="F66" dT="2023-03-15T11:11:45.00" personId="{9c0aebe9-b29b-46bc-824b-5c102ff6f9db}" id="{c6cc3774-8310-45b9-8652-0141dc2d632b}" done="0">
    <x18tc:text xml:space="preserve">big ben teahaz</x18tc:text>
  </x18tc:threadedComment>
  <x18tc:threadedComment ref="H344" dT="2023-12-26T10:26:32.00" personId="{9c0aebe9-b29b-46bc-824b-5c102ff6f9db}" id="{989d93eb-e30a-4856-80de-3dda9b5f130f}" done="0">
    <x18tc:text xml:space="preserve">sold Jonsbo T8 case</x18tc:text>
  </x18tc:threadedComment>
  <x18tc:threadedComment ref="F46" dT="2023-02-23T13:13:32.00" personId="{9c0aebe9-b29b-46bc-824b-5c102ff6f9db}" id="{a3bd84ef-a6b6-4750-a868-c42ea6a7f5d4}" done="0">
    <x18tc:text xml:space="preserve">youtube music</x18tc:text>
  </x18tc:threadedComment>
  <x18tc:threadedComment ref="L235" dT="2023-10-05T16:42:51.00" personId="{9c0aebe9-b29b-46bc-824b-5c102ff6f9db}" id="{9282ba8b-1816-4653-8fa8-26d5ec7c74c0}" done="0">
    <x18tc:text xml:space="preserve">fotel</x18tc:text>
  </x18tc:threadedComment>
  <x18tc:threadedComment ref="L235" dT="2023-10-05T16:45:04.00" personId="{9c0aebe9-b29b-46bc-824b-5c102ff6f9db}" id="{4f39fe0b-985f-43b7-b052-ff58f5f72bff}" parentId="{9282ba8b-1816-4653-8fa8-26d5ec7c74c0}">
    <x18tc:text xml:space="preserve">zara parfum</x18tc:text>
  </x18tc:threadedComment>
  <x18tc:threadedComment ref="H64" dT="2023-03-15T11:12:32.00" personId="{9c0aebe9-b29b-46bc-824b-5c102ff6f9db}" id="{6d6e892d-2202-4271-b455-7faa6f1d850c}" done="0">
    <x18tc:text xml:space="preserve">Ikea sutotal</x18tc:text>
  </x18tc:threadedComment>
  <x18tc:threadedComment ref="J329" dT="2023-12-17T14:15:49.00" personId="{9c0aebe9-b29b-46bc-824b-5c102ff6f9db}" id="{5a2109ef-33be-4d26-b84b-1e76b0f00957}" done="0">
    <x18tc:text xml:space="preserve">curj-pho</x18tc:text>
  </x18tc:threadedComment>
  <x18tc:threadedComment ref="H72" dT="2023-03-15T11:15:25.00" personId="{9c0aebe9-b29b-46bc-824b-5c102ff6f9db}" id="{b0d33208-e1f7-45c0-b9ac-349b4163f6c8}" done="0">
    <x18tc:text xml:space="preserve">bumble 2k</x18tc:text>
  </x18tc:threadedComment>
  <x18tc:threadedComment ref="F277" dT="2023-10-05T16:48:14.00" personId="{9c0aebe9-b29b-46bc-824b-5c102ff6f9db}" id="{42cfcd07-1d7d-4937-8c2a-de3181413b39}" done="0">
    <x18tc:text xml:space="preserve">foxpost</x18tc:text>
  </x18tc:threadedComment>
  <x18tc:threadedComment ref="H333" dT="2023-12-17T14:13:58.00" personId="{9c0aebe9-b29b-46bc-824b-5c102ff6f9db}" id="{2d77963e-ac2f-4693-828b-fe2021f0b99c}" done="0">
    <x18tc:text xml:space="preserve">decathlon shorts</x18tc:text>
  </x18tc:threadedComment>
  <x18tc:threadedComment ref="F72" dT="2023-03-15T11:15:30.00" personId="{9c0aebe9-b29b-46bc-824b-5c102ff6f9db}" id="{295d3835-e473-449e-ab3d-0bb57418f627}" done="0">
    <x18tc:text xml:space="preserve">bumble 2k</x18tc:text>
  </x18tc:threadedComment>
  <x18tc:threadedComment ref="F69" dT="2023-03-15T11:05:20.00" personId="{9c0aebe9-b29b-46bc-824b-5c102ff6f9db}" id="{42c25e1f-9c9a-43fa-86a6-b087bbf4ffde}" done="0">
    <x18tc:text xml:space="preserve">Reserved grey pants</x18tc:text>
  </x18tc:threadedComment>
  <x18tc:threadedComment ref="H69" dT="2023-03-15T11:10:30.00" personId="{9c0aebe9-b29b-46bc-824b-5c102ff6f9db}" id="{0827378a-34a2-44fb-aa01-1bf5c9ccbed2}" done="0">
    <x18tc:text xml:space="preserve">Zara grey sweater</x18tc:text>
  </x18tc:threadedComment>
  <x18tc:threadedComment ref="N209" dT="2023-09-17T12:10:10.00" personId="{9c0aebe9-b29b-46bc-824b-5c102ff6f9db}" id="{10e310f6-d861-4124-bae5-26ad952b9bf3}" done="0">
    <x18tc:text xml:space="preserve">belt</x18tc:text>
  </x18tc:threadedComment>
  <x18tc:threadedComment ref="F13" dT="2023-01-06T14:40:25.00" personId="{9c0aebe9-b29b-46bc-824b-5c102ff6f9db}" id="{cd940488-7dcc-4ae6-8a6a-1d89d5b35792}" done="0">
    <x18tc:text xml:space="preserve">Fifa 23</x18tc:text>
  </x18tc:threadedComment>
  <x18tc:threadedComment ref="H66" dT="2023-03-15T11:11:35.00" personId="{9c0aebe9-b29b-46bc-824b-5c102ff6f9db}" id="{4c6f170f-3df5-4674-bf49-f80ed6b99301}" done="0">
    <x18tc:text xml:space="preserve">big ben teahaz</x18tc:text>
  </x18tc:threadedComment>
  <x18tc:threadedComment ref="N205" dT="2023-09-17T12:10:25.00" personId="{9c0aebe9-b29b-46bc-824b-5c102ff6f9db}" id="{33c0b06a-87ff-4ab2-a755-34c5b42f77dc}" done="0">
    <x18tc:text xml:space="preserve">burger king</x18tc:text>
  </x18tc:threadedComment>
  <x18tc:threadedComment ref="N205" dT="2023-09-17T12:11:43.00" personId="{9c0aebe9-b29b-46bc-824b-5c102ff6f9db}" id="{55c63d62-efe5-49cb-8bda-650793e886d5}" parentId="{33c0b06a-87ff-4ab2-a755-34c5b42f77dc}">
    <x18tc:text xml:space="preserve">savyo gulash pizza</x18tc:text>
  </x18tc:threadedComment>
  <x18tc:threadedComment ref="F233" dT="2023-09-17T11:46:11.00" personId="{9c0aebe9-b29b-46bc-824b-5c102ff6f9db}" id="{117b2474-7ef4-49de-b099-33101861dc7b}" done="0">
    <x18tc:text xml:space="preserve">DEPOSIT + RENT</x18tc:text>
  </x18tc:threadedComment>
  <x18tc:threadedComment ref="F8" dT="2023-01-06T14:55:46.00" personId="{9c0aebe9-b29b-46bc-824b-5c102ff6f9db}" id="{50a19c9d-6da3-4433-a6b1-4ab532b6ac4d}" done="0">
    <x18tc:text xml:space="preserve">berleti + rezsi - gazszereles</x18tc:text>
  </x18tc:threadedComment>
  <x18tc:threadedComment ref="H235" dT="2023-09-17T11:56:19.00" personId="{9c0aebe9-b29b-46bc-824b-5c102ff6f9db}" id="{fe5a4942-94a3-4437-841f-25c729f3cc24}" done="0">
    <x18tc:text xml:space="preserve">IKEA STUFF + desk</x18tc:text>
  </x18tc:threadedComment>
  <x18tc:threadedComment ref="J155" dT="2023-06-22T08:48:25.00" personId="{9c0aebe9-b29b-46bc-824b-5c102ff6f9db}" id="{5aa3dd6a-38bc-4290-b918-297dca10baca}" done="0">
    <x18tc:text xml:space="preserve">80k - SZIGET</x18tc:text>
  </x18tc:threadedComment>
  <x18tc:threadedComment ref="F246" dT="2023-09-17T12:12:44.00" personId="{9c0aebe9-b29b-46bc-824b-5c102ff6f9db}" id="{965daeeb-cc15-4926-8bb9-c9008a0a7bed}" done="0">
    <x18tc:text xml:space="preserve">AIRBNB</x18tc:text>
  </x18tc:threadedComment>
  <x18tc:threadedComment ref="H239" dT="2023-09-17T11:58:09.00" personId="{9c0aebe9-b29b-46bc-824b-5c102ff6f9db}" id="{9637cea6-c910-42bd-b21c-6b7fbe439852}" done="0">
    <x18tc:text xml:space="preserve">dentist</x18tc:text>
  </x18tc:threadedComment>
  <x18tc:threadedComment ref="H234" dT="2023-09-17T11:58:27.00" personId="{9c0aebe9-b29b-46bc-824b-5c102ff6f9db}" id="{3c2f8cb7-0c81-44a7-b909-855e96b17743}" done="0">
    <x18tc:text xml:space="preserve">lot of food for home + other stuff</x18tc:text>
  </x18tc:threadedComment>
  <x18tc:threadedComment ref="H336" dT="2023-12-26T10:24:03.00" personId="{9c0aebe9-b29b-46bc-824b-5c102ff6f9db}" id="{af36b826-15bb-4a3c-ab25-4251be39627c}" done="0">
    <x18tc:text xml:space="preserve">disney +</x18tc:text>
  </x18tc:threadedComment>
  <x18tc:threadedComment ref="H336" dT="2023-12-26T10:24:11.00" personId="{9c0aebe9-b29b-46bc-824b-5c102ff6f9db}" id="{3810a1aa-24cd-4663-9cf5-c601fc310b47}" parentId="{af36b826-15bb-4a3c-ab25-4251be39627c}">
    <x18tc:text xml:space="preserve">youtube music</x18tc:text>
  </x18tc:threadedComment>
  <x18tc:threadedComment ref="J341" dT="2023-12-26T10:22:20.00" personId="{9c0aebe9-b29b-46bc-824b-5c102ff6f9db}" id="{c1283984-14c4-498e-b553-988f7fd3e924}" done="0">
    <x18tc:text xml:space="preserve">salary december</x18tc:text>
  </x18tc:threadedComment>
  <x18tc:threadedComment ref="J206" dT="2023-08-25T06:07:33.00" personId="{9c0aebe9-b29b-46bc-824b-5c102ff6f9db}" id="{08060360-f5b1-4fc5-8609-029e8363b95e}" done="0">
    <x18tc:text xml:space="preserve">Vanessa date - coffee</x18tc:text>
  </x18tc:threadedComment>
  <x18tc:threadedComment ref="J206" dT="2023-08-25T06:08:23.00" personId="{9c0aebe9-b29b-46bc-824b-5c102ff6f9db}" id="{88c000e6-e19c-4a6d-8d2a-666ce321bbaa}" parentId="{08060360-f5b1-4fc5-8609-029e8363b95e}">
    <x18tc:text xml:space="preserve">rizmajer</x18tc:text>
  </x18tc:threadedComment>
  <x18tc:threadedComment ref="F115" dT="2023-05-05T06:33:26.00" personId="{9c0aebe9-b29b-46bc-824b-5c102ff6f9db}" id="{dae7ca1f-81c3-4c47-9cc1-d5b873056ec2}" done="0">
    <x18tc:text xml:space="preserve">telekom</x18tc:text>
  </x18tc:threadedComment>
  <x18tc:threadedComment ref="F115" dT="2023-05-31T07:07:14.00" personId="{9c0aebe9-b29b-46bc-824b-5c102ff6f9db}" id="{2b52778d-2dad-4195-87f4-772b7474a772}" parentId="{dae7ca1f-81c3-4c47-9cc1-d5b873056ec2}">
    <x18tc:text xml:space="preserve">march bill + overdue days + inflation correction</x18tc:text>
  </x18tc:threadedComment>
  <x18tc:threadedComment ref="H214" dT="2023-08-25T06:05:09.00" personId="{9c0aebe9-b29b-46bc-824b-5c102ff6f9db}" id="{7975e201-acb8-49e4-9388-2540b11cbd39}" done="0">
    <x18tc:text xml:space="preserve">SZIGET STUFF</x18tc:text>
  </x18tc:threadedComment>
  <x18tc:threadedComment ref="L304" dT="2023-11-29T10:37:23.00" personId="{9c0aebe9-b29b-46bc-824b-5c102ff6f9db}" id="{3ef95e17-16fb-497c-9a07-567f36d72988}" done="0">
    <x18tc:text xml:space="preserve">bolt</x18tc:text>
  </x18tc:threadedComment>
  <x18tc:threadedComment ref="L214" dT="2023-09-17T12:07:07.00" personId="{9c0aebe9-b29b-46bc-824b-5c102ff6f9db}" id="{fa34dd33-79ff-4a02-8b34-217fd3d21906}" done="0">
    <x18tc:text xml:space="preserve">mozi - blue beettle</x18tc:text>
  </x18tc:threadedComment>
  <x18tc:threadedComment ref="L306" dT="2023-11-29T10:36:57.00" personId="{9c0aebe9-b29b-46bc-824b-5c102ff6f9db}" id="{0bd9df09-f53c-4bf1-b5c1-d58d6951ecbb}" done="0">
    <x18tc:text xml:space="preserve">Ana birthday stuff - drinks for party + gift bag, card</x18tc:text>
  </x18tc:threadedComment>
  <x18tc:threadedComment ref="L306" dT="2023-11-29T10:37:07.00" personId="{9c0aebe9-b29b-46bc-824b-5c102ff6f9db}" id="{f82ab38b-64ba-430f-9f98-83928f14a60e}" parentId="{0bd9df09-f53c-4bf1-b5c1-d58d6951ecbb}">
    <x18tc:text xml:space="preserve">Flower bouquet</x18tc:text>
  </x18tc:threadedComment>
  <x18tc:threadedComment ref="L306" dT="2023-11-29T11:13:50.00" personId="{9c0aebe9-b29b-46bc-824b-5c102ff6f9db}" id="{15ebf67f-7650-4c70-858b-93c34ed6ce3d}" parentId="{0bd9df09-f53c-4bf1-b5c1-d58d6951ecbb}">
    <x18tc:text xml:space="preserve">APE REGINA DATE</x18tc:text>
  </x18tc:threadedComment>
  <x18tc:threadedComment ref="N337" dT="2024-01-07T17:12:06.00" personId="{9c0aebe9-b29b-46bc-824b-5c102ff6f9db}" id="{fbac7717-5499-4199-b32b-98c076aedb24}" done="0">
    <x18tc:text xml:space="preserve">christmas gift - Ana Paula</x18tc:text>
  </x18tc:threadedComment>
  <x18tc:threadedComment ref="L215" dT="2023-09-17T12:07:42.00" personId="{9c0aebe9-b29b-46bc-824b-5c102ff6f9db}" id="{a6a3d666-7753-4a73-a6ea-d1bb6903df83}" done="0">
    <x18tc:text xml:space="preserve">AIRBNB</x18tc:text>
  </x18tc:threadedComment>
  <x18tc:threadedComment ref="F68" dT="2023-03-03T10:05:22.00" personId="{9c0aebe9-b29b-46bc-824b-5c102ff6f9db}" id="{7dbdb389-d927-42d6-8d42-ea6088f8bad0}" done="0">
    <x18tc:text xml:space="preserve">massage x2</x18tc:text>
  </x18tc:threadedComment>
  <x18tc:threadedComment ref="F153" dT="2023-06-06T18:16:38.00" personId="{9c0aebe9-b29b-46bc-824b-5c102ff6f9db}" id="{6dc92848-2790-44e2-9707-9f286282dd78}" done="0">
    <x18tc:text xml:space="preserve">bumble</x18tc:text>
  </x18tc:threadedComment>
  <x18tc:threadedComment ref="H150" dT="2023-06-09T07:22:45.00" personId="{9c0aebe9-b29b-46bc-824b-5c102ff6f9db}" id="{28ff37e4-dd48-4d33-8a71-bcd255778dcf}" done="0">
    <x18tc:text xml:space="preserve">zara jeans</x18tc:text>
  </x18tc:threadedComment>
  <x18tc:threadedComment ref="H150" dT="2023-06-20T06:31:27.00" personId="{9c0aebe9-b29b-46bc-824b-5c102ff6f9db}" id="{3ccf3def-de36-499b-b382-9dbe2dc5eea9}" parentId="{28ff37e4-dd48-4d33-8a71-bcd255778dcf}">
    <x18tc:text xml:space="preserve">Zara white tees and black pants</x18tc:text>
  </x18tc:threadedComment>
  <x18tc:threadedComment ref="L271" dT="2023-10-22T09:35:49.00" personId="{9c0aebe9-b29b-46bc-824b-5c102ff6f9db}" id="{ccf46903-dd5d-4b24-a9f1-efb1c81b7618}" done="0">
    <x18tc:text xml:space="preserve">calvin klein boxers</x18tc:text>
  </x18tc:threadedComment>
  <x18tc:threadedComment ref="L208" dT="2023-08-25T06:10:17.00" personId="{9c0aebe9-b29b-46bc-824b-5c102ff6f9db}" id="{8c3c6094-64ed-4deb-bca9-e3f8500db37b}" done="0">
    <x18tc:text xml:space="preserve">dentist</x18tc:text>
  </x18tc:threadedComment>
  <x18tc:threadedComment ref="H206" dT="2023-08-25T06:08:31.00" personId="{9c0aebe9-b29b-46bc-824b-5c102ff6f9db}" id="{5d8d9da1-93d8-4908-b40e-d73a46bc4f69}" done="0">
    <x18tc:text xml:space="preserve">warm ups</x18tc:text>
  </x18tc:threadedComment>
  <x18tc:threadedComment ref="J306" dT="2023-11-16T21:12:03.00" personId="{9c0aebe9-b29b-46bc-824b-5c102ff6f9db}" id="{216388fd-b6ad-497f-a088-31296f7f7ebc}" done="0">
    <x18tc:text xml:space="preserve">ANA - birthday gift - JBL Tune flex</x18tc:text>
  </x18tc:threadedComment>
  <x18tc:threadedComment ref="N334" dT="2024-01-07T17:22:29.00" personId="{9c0aebe9-b29b-46bc-824b-5c102ff6f9db}" id="{4d5a69f6-5a0a-47ea-82d3-e080f0cca3cc}" done="0">
    <x18tc:text xml:space="preserve">SZEGED</x18tc:text>
  </x18tc:threadedComment>
  <x18tc:threadedComment ref="F128" dT="2023-05-05T06:34:23.00" personId="{9c0aebe9-b29b-46bc-824b-5c102ff6f9db}" id="{c6fa4553-f723-4945-bb1b-93b40cfc2ac6}" done="0">
    <x18tc:text xml:space="preserve">bubbles - wash &amp; dry + paid for someone (3k) in return got 5k</x18tc:text>
  </x18tc:threadedComment>
  <x18tc:threadedComment ref="N339" dT="2024-01-07T17:23:47.00" personId="{9c0aebe9-b29b-46bc-824b-5c102ff6f9db}" id="{9609ad98-6bbe-4fcc-a2e2-ccef119943f2}" done="0">
    <x18tc:text xml:space="preserve">new years food</x18tc:text>
  </x18tc:threadedComment>
  <x18tc:threadedComment ref="J277" dT="2023-10-22T09:40:01.00" personId="{9c0aebe9-b29b-46bc-824b-5c102ff6f9db}" id="{90366e25-b872-4f66-a817-dba63cb955b9}" done="0">
    <x18tc:text xml:space="preserve">DRESDEN</x18tc:text>
  </x18tc:threadedComment>
  <x18tc:threadedComment ref="F208" dT="2023-08-25T06:10:19.00" personId="{9c0aebe9-b29b-46bc-824b-5c102ff6f9db}" id="{cf2a9410-28f7-4c8d-8bbc-5690a9c433d7}" done="0">
    <x18tc:text xml:space="preserve">dentist</x18tc:text>
  </x18tc:threadedComment>
  <x18tc:threadedComment ref="L333" dT="2023-12-26T11:26:42.00" personId="{9c0aebe9-b29b-46bc-824b-5c102ff6f9db}" id="{35784a29-146f-4d38-89f0-b1df7200db42}" done="0">
    <x18tc:text xml:space="preserve">haircut</x18tc:text>
  </x18tc:threadedComment>
  <x18tc:threadedComment ref="N68" dT="2023-04-02T14:09:17.00" personId="{9c0aebe9-b29b-46bc-824b-5c102ff6f9db}" id="{5c7f3ed2-036c-4a9e-9ba4-9267789c4b83}" done="0">
    <x18tc:text xml:space="preserve">haircut</x18tc:text>
  </x18tc:threadedComment>
  <x18tc:threadedComment ref="F155" dT="2023-06-06T17:49:18.00" personId="{9c0aebe9-b29b-46bc-824b-5c102ff6f9db}" id="{e328534c-91ed-4174-9fdc-898db1e78aab}" done="0">
    <x18tc:text xml:space="preserve">boulder</x18tc:text>
  </x18tc:threadedComment>
  <x18tc:threadedComment ref="F215" dT="2023-08-06T17:05:45.00" personId="{9c0aebe9-b29b-46bc-824b-5c102ff6f9db}" id="{45b5e491-6664-4374-9b35-a415bab338c2}" done="0">
    <x18tc:text xml:space="preserve">tinder</x18tc:text>
  </x18tc:threadedComment>
  <x18tc:threadedComment ref="F339" dT="2023-12-07T16:06:20.00" personId="{9c0aebe9-b29b-46bc-824b-5c102ff6f9db}" id="{f9e4f2c8-f95a-4b3f-8dc5-e2db226d6d3c}" done="0">
    <x18tc:text xml:space="preserve">lunch with the BR guys</x18tc:text>
  </x18tc:threadedComment>
  <x18tc:threadedComment ref="F209" dT="2023-08-06T17:06:48.00" personId="{9c0aebe9-b29b-46bc-824b-5c102ff6f9db}" id="{8a4cf1c2-1b65-4e38-9315-47298dae5725}" done="0">
    <x18tc:text xml:space="preserve">kik x4boxers + socks</x18tc:text>
  </x18tc:threadedComment>
  <x18tc:threadedComment ref="F329" dT="2023-12-07T16:06:49.00" personId="{9c0aebe9-b29b-46bc-824b-5c102ff6f9db}" id="{f5e1e403-e6b3-43b5-9628-49ebab8bd9d7}" done="0">
    <x18tc:text xml:space="preserve">christmas lunch at Julias'</x18tc:text>
  </x18tc:threadedComment>
  <x18tc:threadedComment ref="F214" dT="2023-08-06T17:07:23.00" personId="{9c0aebe9-b29b-46bc-824b-5c102ff6f9db}" id="{7a2df691-55dc-4580-99db-47669aa83646}" done="0">
    <x18tc:text xml:space="preserve">open house drinks</x18tc:text>
  </x18tc:threadedComment>
  <x18tc:threadedComment ref="H297" dT="2023-11-14T14:35:14.00" personId="{9c0aebe9-b29b-46bc-824b-5c102ff6f9db}" id="{593042fc-ab35-4eec-840f-7e07b709559c}" done="0">
    <x18tc:text xml:space="preserve">for BERTIS mici ;)</x18tc:text>
  </x18tc:threadedComment>
  <x18tc:threadedComment ref="F331" dT="2023-12-07T16:07:25.00" personId="{9c0aebe9-b29b-46bc-824b-5c102ff6f9db}" id="{7e744de1-2559-4c66-8f20-77111d3b531e}" done="0">
    <x18tc:text xml:space="preserve">foxpost - package sent</x18tc:text>
  </x18tc:threadedComment>
  <x18tc:threadedComment ref="F205" dT="2023-08-06T17:09:34.00" personId="{9c0aebe9-b29b-46bc-824b-5c102ff6f9db}" id="{f767bf09-1c77-405a-8eff-bc2f0ec610f4}" done="0">
    <x18tc:text xml:space="preserve">pizza manufaktura</x18tc:text>
  </x18tc:threadedComment>
  <x18tc:threadedComment ref="H48" dT="2023-02-17T13:10:19.00" personId="{9c0aebe9-b29b-46bc-824b-5c102ff6f9db}" id="{c712e502-2ddc-48e1-8d46-7376306472fb}" done="0">
    <x18tc:text xml:space="preserve">cinema i didnt go to</x18tc:text>
  </x18tc:threadedComment>
  <x18tc:threadedComment ref="N175" dT="2023-08-06T17:10:04.00" personId="{9c0aebe9-b29b-46bc-824b-5c102ff6f9db}" id="{d48a3fe4-66fb-45d7-ac77-f59c06a7a35d}" done="0">
    <x18tc:text xml:space="preserve">simon's burger</x18tc:text>
  </x18tc:threadedComment>
  <x18tc:threadedComment ref="N179" dT="2023-08-06T17:10:51.00" personId="{9c0aebe9-b29b-46bc-824b-5c102ff6f9db}" id="{77d62725-52f1-403c-a75b-23055294163d}" done="0">
    <x18tc:text xml:space="preserve">vinted shoes adidas continental 80</x18tc:text>
  </x18tc:threadedComment>
  <x18tc:threadedComment ref="J74" dT="2023-03-25T11:14:48.00" personId="{9c0aebe9-b29b-46bc-824b-5c102ff6f9db}" id="{9bc8a814-8ea9-4afd-a60b-6d55790e7e95}" done="0">
    <x18tc:text xml:space="preserve">mozi - shazam</x18tc:text>
  </x18tc:threadedComment>
  <x18tc:threadedComment ref="F266" dT="2023-10-08T11:19:59.00" personId="{9c0aebe9-b29b-46bc-824b-5c102ff6f9db}" id="{e0a93960-5935-4a77-a428-ec21b479542c}" done="0">
    <x18tc:text xml:space="preserve">ergonomic office chair</x18tc:text>
  </x18tc:threadedComment>
  <x18tc:threadedComment ref="F333" dT="2023-12-07T16:07:39.00" personId="{9c0aebe9-b29b-46bc-824b-5c102ff6f9db}" id="{0557f43e-6b00-42ed-8289-f28eafc906f1}" done="0">
    <x18tc:text xml:space="preserve">Vinted - AJAX SHIRT</x18tc:text>
  </x18tc:threadedComment>
  <x18tc:threadedComment ref="J124" dT="2023-05-21T15:04:22.00" personId="{9c0aebe9-b29b-46bc-824b-5c102ff6f9db}" id="{64ce21a4-0dcc-4c15-9b35-6c7bdca2db85}" done="0">
    <x18tc:text xml:space="preserve">bolt - bakats ter</x18tc:text>
  </x18tc:threadedComment>
  <x18tc:threadedComment ref="J122" dT="2023-05-21T15:04:05.00" personId="{9c0aebe9-b29b-46bc-824b-5c102ff6f9db}" id="{cfc23888-ac6b-4a80-aba0-1dbec195ddb9}" done="0">
    <x18tc:text xml:space="preserve">nyakkendo</x18tc:text>
  </x18tc:threadedComment>
  <x18tc:threadedComment ref="J122" dT="2023-05-31T06:53:15.00" personId="{9c0aebe9-b29b-46bc-824b-5c102ff6f9db}" id="{f948900a-09a3-4ca9-bedf-10031c6c17f4}" parentId="{cfc23888-ac6b-4a80-aba0-1dbec195ddb9}">
    <x18tc:text xml:space="preserve">deichmann - talpbetet</x18tc:text>
  </x18tc:threadedComment>
  <x18tc:threadedComment ref="J117" dT="2023-05-21T15:06:30.00" personId="{9c0aebe9-b29b-46bc-824b-5c102ff6f9db}" id="{3b59e2f7-4576-4b1b-84aa-b654320422ee}" done="0">
    <x18tc:text xml:space="preserve">dm - sunscreen</x18tc:text>
  </x18tc:threadedComment>
  <x18tc:threadedComment ref="J115" dT="2023-05-21T15:05:09.00" personId="{9c0aebe9-b29b-46bc-824b-5c102ff6f9db}" id="{d390da06-0d7a-4903-bf69-9d5360f1507f}" done="0">
    <x18tc:text xml:space="preserve">digi</x18tc:text>
  </x18tc:threadedComment>
  <x18tc:threadedComment ref="J91" dT="2023-04-14T17:12:31.00" personId="{9c0aebe9-b29b-46bc-824b-5c102ff6f9db}" id="{e36d4401-fc7a-44a4-ae61-00068bc2b0be}" done="0">
    <x18tc:text xml:space="preserve">wolt - gringos amigos - quesadilla</x18tc:text>
  </x18tc:threadedComment>
  <x18tc:threadedComment ref="J91" dT="2023-04-20T06:18:00.00" personId="{9c0aebe9-b29b-46bc-824b-5c102ff6f9db}" id="{8b432a75-ff97-4a6f-a9b3-5019f6197c07}" parentId="{e36d4401-fc7a-44a4-ae61-00068bc2b0be}">
    <x18tc:text xml:space="preserve">wolt - 2soups from drum cafe</x18tc:text>
  </x18tc:threadedComment>
  <x18tc:threadedComment ref="J91" dT="2023-04-27T16:20:25.00" personId="{9c0aebe9-b29b-46bc-824b-5c102ff6f9db}" id="{4d5eb384-a98c-42db-a050-c50bd785132c}" parentId="{e36d4401-fc7a-44a4-ae61-00068bc2b0be}">
    <x18tc:text xml:space="preserve">simon's burger - with theo</x18tc:text>
  </x18tc:threadedComment>
  <x18tc:threadedComment ref="F304" dT="2023-11-05T10:51:37.00" personId="{9c0aebe9-b29b-46bc-824b-5c102ff6f9db}" id="{2ab1d533-8a87-4bc9-9b2e-9b86df06c4f2}" done="0">
    <x18tc:text xml:space="preserve">mol bubi</x18tc:text>
  </x18tc:threadedComment>
  <x18tc:threadedComment ref="J95" dT="2023-04-14T17:11:55.00" personId="{9c0aebe9-b29b-46bc-824b-5c102ff6f9db}" id="{5635c7b2-722a-429b-959a-d11e9ccd2ef1}" done="0">
    <x18tc:text xml:space="preserve">carhartt beanie + boxers</x18tc:text>
  </x18tc:threadedComment>
  <x18tc:threadedComment ref="J95" dT="2023-04-14T17:12:07.00" personId="{9c0aebe9-b29b-46bc-824b-5c102ff6f9db}" id="{d1ca2924-59f9-4476-b64e-0dcc8d9851d2}" parentId="{5635c7b2-722a-429b-959a-d11e9ccd2ef1}">
    <x18tc:text xml:space="preserve">ecipo - elegant shoes</x18tc:text>
  </x18tc:threadedComment>
  <x18tc:threadedComment ref="J95" dT="2023-04-20T06:17:41.00" personId="{9c0aebe9-b29b-46bc-824b-5c102ff6f9db}" id="{443f8621-91e5-4895-a4f9-7fdfdf65667e}" parentId="{5635c7b2-722a-429b-959a-d11e9ccd2ef1}">
    <x18tc:text xml:space="preserve">17034 - vinted TNF jacket</x18tc:text>
  </x18tc:threadedComment>
  <x18tc:threadedComment ref="J95" dT="2023-04-20T06:19:40.00" personId="{9c0aebe9-b29b-46bc-824b-5c102ff6f9db}" id="{6decb005-400c-4e49-bcd6-68a54f1f8e9f}" parentId="{5635c7b2-722a-429b-959a-d11e9ccd2ef1}">
    <x18tc:text xml:space="preserve">hada - leicester city football shorts</x18tc:text>
  </x18tc:threadedComment>
  <x18tc:threadedComment ref="N301" dT="2023-12-07T15:59:13.00" personId="{9c0aebe9-b29b-46bc-824b-5c102ff6f9db}" id="{e8f0340d-b15b-498a-94b3-f8877105eeab}" done="0">
    <x18tc:text xml:space="preserve">canesten</x18tc:text>
  </x18tc:threadedComment>
  <x18tc:threadedComment ref="J14" dT="2023-02-01T08:05:40.00" personId="{9c0aebe9-b29b-46bc-824b-5c102ff6f9db}" id="{e50cecef-fea2-4ed3-9617-a5e7c71545ea}" done="0">
    <x18tc:text xml:space="preserve">Dentist - 2x filling</x18tc:text>
  </x18tc:threadedComment>
  <x18tc:threadedComment ref="N267" dT="2023-11-05T09:54:03.00" personId="{9c0aebe9-b29b-46bc-824b-5c102ff6f9db}" id="{19632f17-55a9-433d-8579-c133714212c9}" done="0">
    <x18tc:text xml:space="preserve">simon's burger</x18tc:text>
  </x18tc:threadedComment>
  <x18tc:threadedComment ref="N272" dT="2023-11-05T09:55:31.00" personId="{9c0aebe9-b29b-46bc-824b-5c102ff6f9db}" id="{a76e642c-d3ae-4a33-bc05-30d881d06b49}" done="0">
    <x18tc:text xml:space="preserve">TRAVEL - day1</x18tc:text>
  </x18tc:threadedComment>
  <x18tc:threadedComment ref="N16" dT="2023-02-01T08:03:35.00" personId="{9c0aebe9-b29b-46bc-824b-5c102ff6f9db}" id="{4ee27e13-bcea-44a3-928d-ac4d7ec1cc92}" done="0">
    <x18tc:text xml:space="preserve">Travel Italy spent in Euro</x18tc:text>
  </x18tc:threadedComment>
  <x18tc:threadedComment ref="F303" dT="2023-11-05T10:48:04.00" personId="{9c0aebe9-b29b-46bc-824b-5c102ff6f9db}" id="{6dbb694d-9336-431e-8f2f-64583d3c19f1}" done="0">
    <x18tc:text xml:space="preserve">Praha - day 2</x18tc:text>
  </x18tc:threadedComment>
  <x18tc:threadedComment ref="F303" dT="2023-11-05T10:50:13.00" personId="{9c0aebe9-b29b-46bc-824b-5c102ff6f9db}" id="{0558aed9-c970-48ed-bc14-2636e8add55f}" parentId="{6dbb694d-9336-431e-8f2f-64583d3c19f1}">
    <x18tc:text xml:space="preserve">day1+2+3</x18tc:text>
  </x18tc:threadedComment>
  <x18tc:threadedComment ref="N178" dT="2023-08-06T17:10:57.00" personId="{9c0aebe9-b29b-46bc-824b-5c102ff6f9db}" id="{c9d13c70-12c3-4876-8309-75ed073d45cd}" done="0">
    <x18tc:text xml:space="preserve">massage</x18tc:text>
  </x18tc:threadedComment>
  <x18tc:threadedComment ref="H21" dT="2023-01-12T08:30:31.00" personId="{9c0aebe9-b29b-46bc-824b-5c102ff6f9db}" id="{faec6a8a-5a2f-407b-bdd3-ac208c98941e}" done="0">
    <x18tc:text xml:space="preserve">Cert. nastere forditas - OFFI</x18tc:text>
  </x18tc:threadedComment>
  <x18tc:threadedComment ref="H13" dT="2023-01-12T08:31:26.00" personId="{9c0aebe9-b29b-46bc-824b-5c102ff6f9db}" id="{404e8e8d-880e-48c5-8812-d1bcd0707364}" done="0">
    <x18tc:text xml:space="preserve">Keychron K3 keyboard</x18tc:text>
  </x18tc:threadedComment>
  <x18tc:threadedComment ref="F17" dT="2023-01-19T12:41:18.00" personId="{9c0aebe9-b29b-46bc-824b-5c102ff6f9db}" id="{542ab210-c9f9-4cf2-8e80-9fafb5c695a6}" done="0">
    <x18tc:text xml:space="preserve">Attila transport SFG -&gt; BUD</x18tc:text>
  </x18tc:threadedComment>
  <x18tc:threadedComment ref="H20" dT="2023-01-19T12:47:33.00" personId="{9c0aebe9-b29b-46bc-824b-5c102ff6f9db}" id="{7ce4a4e2-c9f8-450a-929c-f0f0e1c26aaf}" done="0">
    <x18tc:text xml:space="preserve">foci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0" dT="2022-09-16T09:05:53.00" personId="{9c0aebe9-b29b-46bc-824b-5c102ff6f9db}" id="{c3789643-3269-486c-a2f8-a7659792ec34}" done="0">
    <x18tc:text xml:space="preserve">Watch + External HDD</x18tc:text>
  </x18tc:threadedComment>
  <x18tc:threadedComment ref="AB25" dT="2022-09-16T09:07:53.00" personId="{9c0aebe9-b29b-46bc-824b-5c102ff6f9db}" id="{09f5bfe8-2c59-4954-b091-b0f2fe643062}" done="0">
    <x18tc:text xml:space="preserve">kaucio + airbnb(BRAT) + airbnb(PRAHA)</x18tc:text>
  </x18tc:threadedComment>
  <x18tc:threadedComment ref="I56" dT="2022-09-16T09:05:35.00" personId="{9c0aebe9-b29b-46bc-824b-5c102ff6f9db}" id="{26b78554-a197-4b24-b308-07a71d311bd8}" done="0">
    <x18tc:text xml:space="preserve">Kirandulas visszajaro Szilvitol</x18tc:text>
  </x18tc:threadedComment>
  <x18tc:threadedComment ref="W46" dT="2022-12-02T13:20:50.00" personId="{9c0aebe9-b29b-46bc-824b-5c102ff6f9db}" id="{44cb2dc6-f78c-4db2-9c81-08bdacc219ac}" done="0">
    <x18tc:text xml:space="preserve">telekom internet</x18tc:text>
  </x18tc:threadedComment>
  <x18tc:threadedComment ref="M51" dT="2022-10-08T09:44:12.00" personId="{9c0aebe9-b29b-46bc-824b-5c102ff6f9db}" id="{c569cb1e-00d7-4e05-a865-09a0530d513d}" done="0">
    <x18tc:text xml:space="preserve">zara kabat</x18tc:text>
  </x18tc:threadedComment>
  <x18tc:threadedComment ref="X55" dT="2022-12-02T13:23:46.00" personId="{9c0aebe9-b29b-46bc-824b-5c102ff6f9db}" id="{7801609f-3311-4154-9789-e70ce139e1b0}" done="0">
    <x18tc:text xml:space="preserve">foci x11</x18tc:text>
  </x18tc:threadedComment>
  <x18tc:threadedComment ref="N55" dT="2022-10-04T14:58:45.00" personId="{9c0aebe9-b29b-46bc-824b-5c102ff6f9db}" id="{bcf90cd1-6fe6-4a2b-9370-0ad759b360fd}" done="0">
    <x18tc:text xml:space="preserve">dentist - 10k
+ haircut - 4k</x18tc:text>
  </x18tc:threadedComment>
  <x18tc:threadedComment ref="N55" dT="2022-10-08T09:42:32.00" personId="{9c0aebe9-b29b-46bc-824b-5c102ff6f9db}" id="{24d3643d-a59a-409e-ac28-f00220a0f198}" parentId="{bcf90cd1-6fe6-4a2b-9370-0ad759b360fd}">
    <x18tc:text xml:space="preserve">+ footballx3</x18tc:text>
  </x18tc:threadedComment>
  <x18tc:threadedComment ref="N51" dT="2022-10-04T15:00:17.00" personId="{9c0aebe9-b29b-46bc-824b-5c102ff6f9db}" id="{e84ee6ee-4585-4e61-a569-3adba36a4fe7}" done="0">
    <x18tc:text xml:space="preserve">zara - 2turtleneck + blue shirt</x18tc:text>
  </x18tc:threadedComment>
  <x18tc:threadedComment ref="N51" dT="2022-10-06T10:39:38.00" personId="{9c0aebe9-b29b-46bc-824b-5c102ff6f9db}" id="{340e4770-1390-424e-8691-40c5356e643c}" parentId="{e84ee6ee-4585-4e61-a569-3adba36a4fe7}">
    <x18tc:text xml:space="preserve">zara - kabat</x18tc:text>
  </x18tc:threadedComment>
  <x18tc:threadedComment ref="J54" dT="2022-09-11T09:46:15.00" personId="{2820c81d-914d-4a4b-88a0-cab09cabfe57}" id="{31450f89-089f-48de-8cb6-56d5089084a1}" done="0">
    <x18tc:text xml:space="preserve">weed</x18tc:text>
  </x18tc:threadedComment>
  <x18tc:threadedComment ref="J55" dT="2022-09-11T09:46:07.00" personId="{2820c81d-914d-4a4b-88a0-cab09cabfe57}" id="{77361c2d-d54d-4da3-8779-0b19979f6807}" done="0">
    <x18tc:text xml:space="preserve">roaming</x18tc:text>
  </x18tc:threadedComment>
  <x18tc:threadedComment ref="J49" dT="2022-09-11T09:46:54.00" personId="{2820c81d-914d-4a4b-88a0-cab09cabfe57}" id="{23de8b0a-4147-49dc-bf01-cc6f48f45ad6}" done="0">
    <x18tc:text xml:space="preserve">traveling eating out</x18tc:text>
  </x18tc:threadedComment>
  <x18tc:threadedComment ref="J51" dT="2022-09-11T09:46:38.00" personId="{2820c81d-914d-4a4b-88a0-cab09cabfe57}" id="{7148bbae-a926-40c6-9d4e-90a2ecb65c10}" done="0">
    <x18tc:text xml:space="preserve">black denim pants</x18tc:text>
  </x18tc:threadedComment>
  <x18tc:threadedComment ref="K55" dT="2022-09-21T08:26:40.00" personId="{9c0aebe9-b29b-46bc-824b-5c102ff6f9db}" id="{73535c3f-8778-44bb-8bc6-5c654924222a}" done="0">
    <x18tc:text xml:space="preserve">bubbles mosoda</x18tc:text>
  </x18tc:threadedComment>
  <x18tc:threadedComment ref="V50" dT="2022-11-23T17:52:13.00" personId="{9c0aebe9-b29b-46bc-824b-5c102ff6f9db}" id="{77c87049-bf22-4f7b-8fc0-63edf2a97096}" done="0">
    <x18tc:text xml:space="preserve">esernyo</x18tc:text>
  </x18tc:threadedComment>
  <x18tc:threadedComment ref="V49" dT="2022-11-29T16:54:20.00" personId="{9c0aebe9-b29b-46bc-824b-5c102ff6f9db}" id="{6d8703b6-f3e0-4a84-8a09-eb5c52c84357}" done="0">
    <x18tc:text xml:space="preserve">manu</x18tc:text>
  </x18tc:threadedComment>
  <x18tc:threadedComment ref="V51" dT="2022-11-29T16:54:14.00" personId="{9c0aebe9-b29b-46bc-824b-5c102ff6f9db}" id="{5df9284d-3d05-47b3-bde5-c11eb4aab6b2}" done="0">
    <x18tc:text xml:space="preserve">nyakvedo+zarabluzz</x18tc:text>
  </x18tc:threadedComment>
  <x18tc:threadedComment ref="J53" dT="2022-09-11T09:49:10.00" personId="{2820c81d-914d-4a4b-88a0-cab09cabfe57}" id="{f43a6680-72da-4347-b369-b1e34dec64bd}" done="0">
    <x18tc:text xml:space="preserve">TODO: traveling &amp; airbnb costs</x18tc:text>
  </x18tc:threadedComment>
  <x18tc:threadedComment ref="J53" dT="2022-09-18T07:41:23.00" personId="{9c0aebe9-b29b-46bc-824b-5c102ff6f9db}" id="{9f142d6f-f3c1-4e16-b44f-b2c7287d142e}" parentId="{f43a6680-72da-4347-b369-b1e34dec64bd}">
    <x18tc:text xml:space="preserve">public transport</x18tc:text>
  </x18tc:threadedComment>
  <x18tc:threadedComment ref="J47" dT="2022-09-11T09:47:11.00" personId="{2820c81d-914d-4a4b-88a0-cab09cabfe57}" id="{0c92be5f-4055-47fc-ad75-ccfb095a545f}" done="0">
    <x18tc:text xml:space="preserve">lidl+tesco in czechoslovakia</x18tc:text>
  </x18tc:threadedComment>
  <x18tc:threadedComment ref="L55" dT="2022-09-28T11:27:53.00" personId="{9c0aebe9-b29b-46bc-824b-5c102ff6f9db}" id="{4cc1a327-85b3-407a-b288-077fb7a07f8e}" done="0">
    <x18tc:text xml:space="preserve">33677 - kozjegyzo</x18tc:text>
  </x18tc:threadedComment>
  <x18tc:threadedComment ref="L55" dT="2022-09-28T11:28:16.00" personId="{9c0aebe9-b29b-46bc-824b-5c102ff6f9db}" id="{537ccda6-7caa-47fc-b418-c16c877a2331}" parentId="{4cc1a327-85b3-407a-b288-077fb7a07f8e}">
    <x18tc:text xml:space="preserve">1600 - digi</x18tc:text>
  </x18tc:threadedComment>
  <x18tc:threadedComment ref="T51" dT="2022-11-13T17:21:49.00" personId="{9c0aebe9-b29b-46bc-824b-5c102ff6f9db}" id="{31886915-b370-443d-b2d8-9db98ddc0aca}" done="0">
    <x18tc:text xml:space="preserve">hada - dzseki</x18tc:text>
  </x18tc:threadedComment>
  <x18tc:threadedComment ref="U49" dT="2022-11-23T17:50:48.00" personId="{9c0aebe9-b29b-46bc-824b-5c102ff6f9db}" id="{5010d32a-6540-4da0-8912-ebc691544ada}" done="0">
    <x18tc:text xml:space="preserve">kantin</x18tc:text>
  </x18tc:threadedComment>
  <x18tc:threadedComment ref="U51" dT="2022-11-20T08:31:03.00" personId="{9c0aebe9-b29b-46bc-824b-5c102ff6f9db}" id="{68f6f3b2-58e8-402a-9283-21762adf48e8}" done="0">
    <x18tc:text xml:space="preserve">Adidas originals trainers</x18tc:text>
  </x18tc:threadedComment>
  <x18tc:threadedComment ref="U51" dT="2022-11-23T17:49:43.00" personId="{9c0aebe9-b29b-46bc-824b-5c102ff6f9db}" id="{4f2dd5bf-30c8-4e37-b2d7-180d136dcbfc}" parentId="{68f6f3b2-58e8-402a-9283-21762adf48e8}">
    <x18tc:text xml:space="preserve">+ Zara kek Farmer</x18tc:text>
  </x18tc:threadedComment>
  <x18tc:threadedComment ref="AB44" dT="2022-12-27T07:01:58.00" personId="{9c0aebe9-b29b-46bc-824b-5c102ff6f9db}" id="{f60d4e2d-0460-4dd4-bdf7-ce1423f76da9}" done="0">
    <x18tc:text xml:space="preserve">[28-31]</x18tc:text>
  </x18tc:threadedComment>
  <x18tc:threadedComment ref="AA44" dT="2022-12-27T07:01:37.00" personId="{9c0aebe9-b29b-46bc-824b-5c102ff6f9db}" id="{92c6bd49-fec5-4346-a020-886fe2be7a14}" done="0">
    <x18tc:text xml:space="preserve">[21-28)</x18tc:text>
  </x18tc:threadedComment>
  <x18tc:threadedComment ref="Z52" dT="2022-12-27T06:47:29.00" personId="{9c0aebe9-b29b-46bc-824b-5c102ff6f9db}" id="{17bafac0-72f6-495d-968a-fe976b0fddb4}" done="0">
    <x18tc:text xml:space="preserve">BP-&gt;MS fuvar</x18tc:text>
  </x18tc:threadedComment>
  <x18tc:threadedComment ref="Z49" dT="2022-12-27T06:45:50.00" personId="{9c0aebe9-b29b-46bc-824b-5c102ff6f9db}" id="{f6f7bb2b-140a-44ce-b102-210747081855}" done="0">
    <x18tc:text xml:space="preserve">repter szendvics</x18tc:text>
  </x18tc:threadedComment>
  <x18tc:threadedComment ref="AA46" dT="2022-12-27T06:43:08.00" personId="{9c0aebe9-b29b-46bc-824b-5c102ff6f9db}" id="{b9f9d6b5-ae35-48e1-a18b-2cfb8601ad75}" done="0">
    <x18tc:text xml:space="preserve">telekom otthoni internet</x18tc:text>
  </x18tc:threadedComment>
  <x18tc:threadedComment ref="Y53" dT="2022-12-27T06:42:27.00" personId="{9c0aebe9-b29b-46bc-824b-5c102ff6f9db}" id="{684b3043-7ad3-4ead-a9e8-d89df1c62ca2}" done="0">
    <x18tc:text xml:space="preserve">Airbnb italia</x18tc:text>
  </x18tc:threadedComment>
  <x18tc:threadedComment ref="Y53" dT="2022-12-27T06:51:29.00" personId="{9c0aebe9-b29b-46bc-824b-5c102ff6f9db}" id="{dab4b978-c0e0-467d-b60f-02c510ff6a9f}" parentId="{684b3043-7ad3-4ead-a9e8-d89df1c62ca2}">
    <x18tc:text xml:space="preserve">BKK berlet</x18tc:text>
  </x18tc:threadedComment>
  <x18tc:threadedComment ref="Z46" dT="2022-12-27T06:41:24.00" personId="{9c0aebe9-b29b-46bc-824b-5c102ff6f9db}" id="{4f82fe25-45d8-4583-a826-639404c120ce}" done="0">
    <x18tc:text xml:space="preserve">kazan szereles</x18tc:text>
  </x18tc:threadedComment>
  <x18tc:threadedComment ref="X54" dT="2022-12-11T13:08:33.00" personId="{9c0aebe9-b29b-46bc-824b-5c102ff6f9db}" id="{c28cc21a-0b99-4ee3-b782-f084b4f0a5cd}" done="0">
    <x18tc:text xml:space="preserve">foci + new world</x18tc:text>
  </x18tc:threadedComment>
  <x18tc:threadedComment ref="J50" dT="2022-09-12T18:58:32.00" personId="{9c0aebe9-b29b-46bc-824b-5c102ff6f9db}" id="{e06f3371-4a19-4845-ad33-3551b465b5ff}" done="0">
    <x18tc:text xml:space="preserve">aliexpress - phone stand + adapters</x18tc:text>
  </x18tc:threadedComment>
  <x18tc:threadedComment ref="J50" dT="2022-09-12T18:59:29.00" personId="{9c0aebe9-b29b-46bc-824b-5c102ff6f9db}" id="{ed6c810b-a21b-40f1-b0d5-2777999f911d}" parentId="{e06f3371-4a19-4845-ad33-3551b465b5ff}">
    <x18tc:text xml:space="preserve">+ szilvinek a dm rendeles</x18tc:text>
  </x18tc:threadedComment>
  <x18tc:threadedComment ref="T50" dT="2022-11-13T17:23:01.00" personId="{9c0aebe9-b29b-46bc-824b-5c102ff6f9db}" id="{fa336de7-608d-415e-8b9c-1c37a841402d}" done="0">
    <x18tc:text xml:space="preserve">xbox controller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V24" dT="2024-02-09T15:15:37.00" personId="{9c0aebe9-b29b-46bc-824b-5c102ff6f9db}" id="{35629dfe-2035-474c-8505-68f29af13c27}" done="0">
    <x18tc:text xml:space="preserve">TODO: set this value as the last invested value, for the current months last day</x18tc:text>
  </x18tc:threadedComment>
  <x18tc:threadedComment ref="Z24" dT="2024-07-20T17:59:53.00" personId="{9c0aebe9-b29b-46bc-824b-5c102ff6f9db}" id="{85c6859f-045e-46ca-b1fd-0fb6e4ed157c}" done="0">
    <x18tc:text xml:space="preserve">Manually adjusted - july 20th</x18tc:text>
  </x18tc:threadedComment>
  <x18tc:threadedComment ref="L9" dT="2024-02-07T22:19:12.00" personId="{9c0aebe9-b29b-46bc-824b-5c102ff6f9db}" id="{21e12efd-c6fd-46f9-afa1-615f01c8cbf5}" done="1">
    <x18tc:text xml:space="preserve">TODO: CORRECT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hyperlink" Target="https://www.justetf.com/en/etf-profile.html?isin=IE00BK5BQT80" TargetMode="Externa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drawing" Target="../drawings/drawing8.xml"/><Relationship Id="rId6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1.14"/>
    <col customWidth="1" min="3" max="3" width="2.14"/>
    <col customWidth="1" min="4" max="4" width="14.14"/>
    <col customWidth="1" min="6" max="6" width="4.29"/>
    <col customWidth="1" min="7" max="7" width="11.14"/>
    <col customWidth="1" min="8" max="8" width="6.14"/>
    <col customWidth="1" min="9" max="9" width="12.43"/>
    <col customWidth="1" min="10" max="10" width="6.43"/>
    <col customWidth="1" min="11" max="11" width="10.71"/>
    <col customWidth="1" min="12" max="12" width="5.14"/>
    <col customWidth="1" min="13" max="13" width="13.86"/>
    <col customWidth="1" min="14" max="14" width="4.71"/>
    <col customWidth="1" min="15" max="15" width="17.57"/>
    <col customWidth="1" min="16" max="16" width="1.86"/>
    <col customWidth="1" min="17" max="17" width="14.29"/>
  </cols>
  <sheetData>
    <row r="1">
      <c r="A1" s="1">
        <f>NOW()</f>
        <v>46234.09825</v>
      </c>
      <c r="G1" s="2"/>
      <c r="H1" s="2"/>
      <c r="I1" s="3">
        <f t="array" ref="I1">(INDIRECT("I" &amp; ROW() + 1)/INDIRECT("E" &amp; ROW() + 1))</f>
        <v>0.7107589498</v>
      </c>
      <c r="K1" s="2"/>
      <c r="L1" s="4">
        <f t="array" ref="L1">(1 - INDIRECT("I" &amp; ROW()))</f>
        <v>0.2892410502</v>
      </c>
      <c r="N1" s="2"/>
      <c r="O1" s="5"/>
      <c r="P1" s="5"/>
      <c r="Q1" s="5"/>
      <c r="R1" s="5"/>
      <c r="S1" s="6"/>
      <c r="T1" s="6"/>
      <c r="U1" s="6"/>
      <c r="V1" s="6"/>
      <c r="W1" s="6"/>
      <c r="X1" s="6"/>
      <c r="Y1" s="6"/>
      <c r="Z1" s="6"/>
    </row>
    <row r="2">
      <c r="A2" s="7"/>
      <c r="B2" s="7"/>
      <c r="C2" s="7"/>
      <c r="D2" s="7"/>
      <c r="E2" s="8">
        <f>O22</f>
        <v>989130</v>
      </c>
      <c r="G2" s="2"/>
      <c r="I2" s="9">
        <f>O7</f>
        <v>703033</v>
      </c>
      <c r="K2" s="2"/>
      <c r="L2" s="11">
        <f>E2-I2</f>
        <v>286097</v>
      </c>
      <c r="N2" s="2"/>
      <c r="P2" s="5"/>
      <c r="Q2" s="5"/>
      <c r="R2" s="5"/>
      <c r="S2" s="6"/>
      <c r="T2" s="6"/>
      <c r="U2" s="6"/>
      <c r="V2" s="6"/>
      <c r="W2" s="6"/>
      <c r="X2" s="6"/>
      <c r="Y2" s="6"/>
      <c r="Z2" s="6"/>
    </row>
    <row r="3">
      <c r="A3" s="14" t="s">
        <v>0</v>
      </c>
      <c r="B3" s="15"/>
      <c r="C3" s="15"/>
      <c r="D3" s="16" t="s">
        <v>1</v>
      </c>
      <c r="E3" s="15"/>
      <c r="F3" s="15"/>
      <c r="G3" s="15"/>
      <c r="H3" s="15"/>
      <c r="I3" s="16" t="s">
        <v>2</v>
      </c>
      <c r="J3" s="15"/>
      <c r="K3" s="15"/>
      <c r="L3" s="16" t="s">
        <v>3</v>
      </c>
      <c r="M3" s="15"/>
      <c r="N3" s="17"/>
      <c r="O3" s="15"/>
      <c r="P3" s="18"/>
      <c r="Q3" s="18"/>
      <c r="R3" s="18"/>
      <c r="S3" s="6"/>
      <c r="T3" s="6"/>
      <c r="U3" s="6"/>
      <c r="V3" s="6"/>
      <c r="W3" s="6"/>
      <c r="X3" s="6"/>
      <c r="Y3" s="6"/>
      <c r="Z3" s="6"/>
    </row>
    <row r="4">
      <c r="A4" s="19"/>
      <c r="D4" s="20"/>
      <c r="E4" s="20"/>
      <c r="F4" s="20" t="s">
        <v>4</v>
      </c>
      <c r="G4" s="20"/>
      <c r="H4" s="20"/>
      <c r="I4" s="20"/>
      <c r="J4" s="20"/>
      <c r="K4" s="20"/>
      <c r="L4" s="20"/>
      <c r="M4" s="20"/>
      <c r="N4" s="20"/>
      <c r="O4" s="19"/>
      <c r="P4" s="19"/>
      <c r="Q4" s="19"/>
      <c r="R4" s="19"/>
      <c r="S4" s="6"/>
      <c r="T4" s="6"/>
      <c r="U4" s="6"/>
      <c r="V4" s="6"/>
      <c r="W4" s="6"/>
      <c r="X4" s="6"/>
      <c r="Y4" s="6"/>
      <c r="Z4" s="6"/>
    </row>
    <row r="5">
      <c r="A5" s="23"/>
      <c r="B5" s="19"/>
      <c r="C5" s="25" t="s">
        <v>5</v>
      </c>
      <c r="Q5" s="19"/>
      <c r="R5" s="19"/>
      <c r="S5" s="6"/>
      <c r="T5" s="6"/>
      <c r="U5" s="6"/>
      <c r="V5" s="6"/>
      <c r="W5" s="6"/>
      <c r="X5" s="6"/>
      <c r="Y5" s="6"/>
      <c r="Z5" s="6"/>
    </row>
    <row r="6" ht="27.75" customHeight="1">
      <c r="A6" s="23"/>
      <c r="B6" s="28"/>
      <c r="C6" s="29"/>
      <c r="D6" s="30" t="s">
        <v>6</v>
      </c>
      <c r="E6" s="31" t="s">
        <v>7</v>
      </c>
      <c r="G6" s="31" t="s">
        <v>8</v>
      </c>
      <c r="I6" s="31" t="s">
        <v>9</v>
      </c>
      <c r="K6" s="31" t="s">
        <v>10</v>
      </c>
      <c r="M6" s="31" t="s">
        <v>11</v>
      </c>
      <c r="O6" s="33" t="s">
        <v>12</v>
      </c>
      <c r="P6" s="29"/>
      <c r="Q6" s="19"/>
      <c r="R6" s="35"/>
      <c r="S6" s="6"/>
      <c r="T6" s="6"/>
      <c r="U6" s="6"/>
      <c r="V6" s="6"/>
      <c r="W6" s="6"/>
      <c r="X6" s="6"/>
      <c r="Y6" s="6"/>
      <c r="Z6" s="6"/>
    </row>
    <row r="7" ht="19.5" customHeight="1">
      <c r="A7" s="36"/>
      <c r="B7" s="38"/>
      <c r="C7" s="39"/>
      <c r="D7" s="41" t="s">
        <v>13</v>
      </c>
      <c r="E7" s="43">
        <f>SUM(E8:F21)</f>
        <v>95653</v>
      </c>
      <c r="F7" s="15"/>
      <c r="G7" s="43">
        <f>SUM(G8:H21)</f>
        <v>344551</v>
      </c>
      <c r="H7" s="15"/>
      <c r="I7" s="43">
        <f>SUM(I8:J21)</f>
        <v>32856</v>
      </c>
      <c r="J7" s="15"/>
      <c r="K7" s="43">
        <f>SUM(K8:L21)</f>
        <v>218120</v>
      </c>
      <c r="L7" s="15"/>
      <c r="M7" s="43">
        <f>SUM(M8:M21)</f>
        <v>11853</v>
      </c>
      <c r="N7" s="15"/>
      <c r="O7" s="43">
        <f t="shared" ref="O7:O26" si="1">SUM(E7:N7)</f>
        <v>703033</v>
      </c>
      <c r="P7" s="39"/>
      <c r="Q7" s="38"/>
      <c r="R7" s="48"/>
      <c r="S7" s="50"/>
      <c r="T7" s="50"/>
      <c r="U7" s="50"/>
      <c r="V7" s="50"/>
      <c r="W7" s="50"/>
      <c r="X7" s="50"/>
      <c r="Y7" s="50"/>
      <c r="Z7" s="50"/>
    </row>
    <row r="8">
      <c r="A8" s="23"/>
      <c r="B8" s="19"/>
      <c r="C8" s="52"/>
      <c r="D8" s="53" t="s">
        <v>20</v>
      </c>
      <c r="E8" s="56">
        <v>0.0</v>
      </c>
      <c r="F8" s="59"/>
      <c r="G8" s="61">
        <f>282631 - 81315</f>
        <v>201316</v>
      </c>
      <c r="H8" s="59"/>
      <c r="I8" s="63">
        <v>0.0</v>
      </c>
      <c r="J8" s="59"/>
      <c r="K8" s="56">
        <v>0.0</v>
      </c>
      <c r="L8" s="59"/>
      <c r="M8" s="56">
        <v>0.0</v>
      </c>
      <c r="N8" s="59"/>
      <c r="O8" s="65">
        <f t="shared" si="1"/>
        <v>201316</v>
      </c>
      <c r="P8" s="66"/>
      <c r="Q8" s="19"/>
      <c r="R8" s="35"/>
      <c r="S8" s="6"/>
      <c r="T8" s="6"/>
      <c r="U8" s="6"/>
      <c r="V8" s="6"/>
      <c r="W8" s="6"/>
      <c r="X8" s="6"/>
      <c r="Y8" s="6"/>
      <c r="Z8" s="6"/>
    </row>
    <row r="9">
      <c r="A9" s="68"/>
      <c r="B9" s="19"/>
      <c r="C9" s="52"/>
      <c r="D9" s="53" t="s">
        <v>21</v>
      </c>
      <c r="E9" s="63">
        <f>941+2400+448+636+1986+520+589+1369</f>
        <v>8889</v>
      </c>
      <c r="F9" s="59"/>
      <c r="G9" s="73">
        <f>1992+1390+1993+951+2988+4926+875</f>
        <v>15115</v>
      </c>
      <c r="H9" s="59"/>
      <c r="I9" s="73">
        <f>1190+1845+298+1000+702+329+732+3168+650+329</f>
        <v>10243</v>
      </c>
      <c r="J9" s="59"/>
      <c r="K9" s="73">
        <f>3978+1353+650+329+1201+999+3045+514</f>
        <v>12069</v>
      </c>
      <c r="L9" s="59"/>
      <c r="M9" s="56">
        <f>908+1023+4044+1438+3190</f>
        <v>10603</v>
      </c>
      <c r="N9" s="59"/>
      <c r="O9" s="84">
        <f t="shared" si="1"/>
        <v>56919</v>
      </c>
      <c r="P9" s="66"/>
      <c r="Q9" s="19"/>
      <c r="R9" s="35"/>
      <c r="S9" s="6"/>
      <c r="T9" s="6"/>
      <c r="U9" s="6"/>
      <c r="V9" s="6"/>
      <c r="W9" s="6"/>
      <c r="X9" s="6"/>
      <c r="Y9" s="6"/>
      <c r="Z9" s="6"/>
    </row>
    <row r="10">
      <c r="A10" s="23"/>
      <c r="B10" s="19"/>
      <c r="C10" s="52"/>
      <c r="D10" s="85" t="s">
        <v>22</v>
      </c>
      <c r="E10" s="63">
        <f>658+1250</f>
        <v>1908</v>
      </c>
      <c r="F10" s="59"/>
      <c r="G10" s="63">
        <f>3740+2990+404+2120+239</f>
        <v>9493</v>
      </c>
      <c r="H10" s="59"/>
      <c r="I10" s="56">
        <v>0.0</v>
      </c>
      <c r="J10" s="59"/>
      <c r="K10" s="63">
        <v>0.0</v>
      </c>
      <c r="L10" s="59"/>
      <c r="M10" s="56">
        <v>0.0</v>
      </c>
      <c r="N10" s="59"/>
      <c r="O10" s="56">
        <f t="shared" si="1"/>
        <v>11401</v>
      </c>
      <c r="P10" s="66"/>
      <c r="Q10" s="19"/>
      <c r="R10" s="35"/>
      <c r="S10" s="6"/>
      <c r="T10" s="6"/>
      <c r="U10" s="6"/>
      <c r="V10" s="6"/>
      <c r="W10" s="6"/>
      <c r="X10" s="6"/>
      <c r="Y10" s="6"/>
      <c r="Z10" s="6"/>
    </row>
    <row r="11">
      <c r="A11" s="23"/>
      <c r="B11" s="19"/>
      <c r="C11" s="52"/>
      <c r="D11" s="85" t="s">
        <v>23</v>
      </c>
      <c r="E11" s="63">
        <f>4444+3080+604</f>
        <v>8128</v>
      </c>
      <c r="F11" s="59"/>
      <c r="G11" s="63">
        <f>3000+4330</f>
        <v>7330</v>
      </c>
      <c r="H11" s="59"/>
      <c r="I11" s="63">
        <f>3050+4680+4980</f>
        <v>12710</v>
      </c>
      <c r="J11" s="59"/>
      <c r="K11" s="63">
        <f>4973</f>
        <v>4973</v>
      </c>
      <c r="L11" s="59"/>
      <c r="M11" s="56">
        <v>0.0</v>
      </c>
      <c r="N11" s="59"/>
      <c r="O11" s="84">
        <f t="shared" si="1"/>
        <v>33141</v>
      </c>
      <c r="P11" s="66"/>
      <c r="Q11" s="19"/>
      <c r="R11" s="35"/>
      <c r="S11" s="6"/>
      <c r="T11" s="6"/>
      <c r="U11" s="6"/>
      <c r="V11" s="6"/>
      <c r="W11" s="6"/>
      <c r="X11" s="6"/>
      <c r="Y11" s="6"/>
      <c r="Z11" s="6"/>
    </row>
    <row r="12">
      <c r="A12" s="23"/>
      <c r="B12" s="19"/>
      <c r="C12" s="52"/>
      <c r="D12" s="53" t="s">
        <v>24</v>
      </c>
      <c r="E12" s="63">
        <f>1250+1250</f>
        <v>2500</v>
      </c>
      <c r="F12" s="59"/>
      <c r="G12" s="63">
        <f>1490+1400+990</f>
        <v>3880</v>
      </c>
      <c r="H12" s="59"/>
      <c r="I12" s="63">
        <f>2280/2+1313+1090</f>
        <v>3543</v>
      </c>
      <c r="J12" s="59"/>
      <c r="K12" s="63">
        <f>2768+2340/2+1300</f>
        <v>5238</v>
      </c>
      <c r="L12" s="59"/>
      <c r="M12" s="56">
        <f>1250</f>
        <v>1250</v>
      </c>
      <c r="N12" s="59"/>
      <c r="O12" s="56">
        <f t="shared" si="1"/>
        <v>16411</v>
      </c>
      <c r="P12" s="66"/>
      <c r="Q12" s="19"/>
      <c r="R12" s="35"/>
      <c r="S12" s="6"/>
      <c r="T12" s="6"/>
      <c r="U12" s="6"/>
      <c r="V12" s="6"/>
      <c r="W12" s="6"/>
      <c r="X12" s="6"/>
      <c r="Y12" s="6"/>
      <c r="Z12" s="6"/>
    </row>
    <row r="13">
      <c r="A13" s="23"/>
      <c r="B13" s="19"/>
      <c r="C13" s="52"/>
      <c r="D13" s="53" t="s">
        <v>25</v>
      </c>
      <c r="E13" s="56">
        <v>0.0</v>
      </c>
      <c r="F13" s="59"/>
      <c r="G13" s="56">
        <v>0.0</v>
      </c>
      <c r="H13" s="59"/>
      <c r="I13" s="56">
        <v>0.0</v>
      </c>
      <c r="J13" s="59"/>
      <c r="K13" s="56">
        <v>0.0</v>
      </c>
      <c r="L13" s="59"/>
      <c r="M13" s="56">
        <v>0.0</v>
      </c>
      <c r="N13" s="59"/>
      <c r="O13" s="56">
        <f t="shared" si="1"/>
        <v>0</v>
      </c>
      <c r="P13" s="66"/>
      <c r="Q13" s="19"/>
      <c r="R13" s="35"/>
      <c r="S13" s="6"/>
      <c r="T13" s="6"/>
      <c r="U13" s="6"/>
      <c r="V13" s="6"/>
      <c r="W13" s="6"/>
      <c r="X13" s="6"/>
      <c r="Y13" s="6"/>
      <c r="Z13" s="6"/>
    </row>
    <row r="14">
      <c r="A14" s="23"/>
      <c r="B14" s="19"/>
      <c r="C14" s="52"/>
      <c r="D14" s="53" t="s">
        <v>26</v>
      </c>
      <c r="E14" s="56">
        <v>0.0</v>
      </c>
      <c r="F14" s="59"/>
      <c r="G14" s="56">
        <f>6000</f>
        <v>6000</v>
      </c>
      <c r="H14" s="59"/>
      <c r="I14" s="63">
        <v>420.0</v>
      </c>
      <c r="J14" s="59"/>
      <c r="K14" s="63">
        <f>6000</f>
        <v>6000</v>
      </c>
      <c r="L14" s="59"/>
      <c r="M14" s="56">
        <v>0.0</v>
      </c>
      <c r="N14" s="59"/>
      <c r="O14" s="56">
        <f t="shared" si="1"/>
        <v>12420</v>
      </c>
      <c r="P14" s="66"/>
      <c r="Q14" s="19"/>
      <c r="R14" s="35"/>
      <c r="S14" s="6"/>
      <c r="T14" s="6"/>
      <c r="U14" s="6"/>
      <c r="V14" s="6"/>
      <c r="W14" s="6"/>
      <c r="X14" s="6"/>
      <c r="Y14" s="6"/>
      <c r="Z14" s="6"/>
    </row>
    <row r="15">
      <c r="A15" s="23"/>
      <c r="B15" s="19"/>
      <c r="C15" s="52"/>
      <c r="D15" s="53" t="s">
        <v>27</v>
      </c>
      <c r="E15" s="73">
        <v>0.0</v>
      </c>
      <c r="F15" s="59"/>
      <c r="G15" s="63">
        <f>9890</f>
        <v>9890</v>
      </c>
      <c r="H15" s="59"/>
      <c r="I15" s="63">
        <v>0.0</v>
      </c>
      <c r="J15" s="59"/>
      <c r="K15" s="88">
        <v>0.0</v>
      </c>
      <c r="L15" s="59"/>
      <c r="M15" s="56">
        <v>0.0</v>
      </c>
      <c r="N15" s="59"/>
      <c r="O15" s="84">
        <f t="shared" si="1"/>
        <v>9890</v>
      </c>
      <c r="P15" s="66"/>
      <c r="Q15" s="19"/>
      <c r="R15" s="35"/>
      <c r="S15" s="6"/>
      <c r="T15" s="6"/>
      <c r="U15" s="6"/>
      <c r="V15" s="6"/>
      <c r="W15" s="6"/>
      <c r="X15" s="6"/>
      <c r="Y15" s="6"/>
      <c r="Z15" s="6"/>
    </row>
    <row r="16">
      <c r="A16" s="23"/>
      <c r="B16" s="19"/>
      <c r="C16" s="52"/>
      <c r="D16" s="53" t="s">
        <v>28</v>
      </c>
      <c r="E16" s="84">
        <f>49764</f>
        <v>49764</v>
      </c>
      <c r="F16" s="59"/>
      <c r="G16" s="73">
        <f>30470</f>
        <v>30470</v>
      </c>
      <c r="H16" s="59"/>
      <c r="I16" s="84">
        <v>0.0</v>
      </c>
      <c r="J16" s="59"/>
      <c r="K16" s="56">
        <v>0.0</v>
      </c>
      <c r="L16" s="59"/>
      <c r="M16" s="56">
        <v>0.0</v>
      </c>
      <c r="N16" s="59"/>
      <c r="O16" s="65">
        <f t="shared" si="1"/>
        <v>80234</v>
      </c>
      <c r="P16" s="66"/>
      <c r="Q16" s="19"/>
      <c r="R16" s="35"/>
      <c r="S16" s="6"/>
      <c r="T16" s="6"/>
      <c r="U16" s="6"/>
      <c r="V16" s="6"/>
      <c r="W16" s="6"/>
      <c r="X16" s="6"/>
      <c r="Y16" s="6"/>
      <c r="Z16" s="6"/>
    </row>
    <row r="17">
      <c r="A17" s="23"/>
      <c r="B17" s="19"/>
      <c r="C17" s="52"/>
      <c r="D17" s="53" t="s">
        <v>29</v>
      </c>
      <c r="E17" s="56">
        <f>8950+3880</f>
        <v>12830</v>
      </c>
      <c r="F17" s="59"/>
      <c r="G17" s="56">
        <v>0.0</v>
      </c>
      <c r="H17" s="59"/>
      <c r="I17" s="63">
        <v>0.0</v>
      </c>
      <c r="J17" s="59"/>
      <c r="K17" s="56">
        <v>0.0</v>
      </c>
      <c r="L17" s="59"/>
      <c r="M17" s="56">
        <v>0.0</v>
      </c>
      <c r="N17" s="59"/>
      <c r="O17" s="56">
        <f t="shared" si="1"/>
        <v>12830</v>
      </c>
      <c r="P17" s="66"/>
      <c r="Q17" s="19"/>
      <c r="R17" s="35"/>
      <c r="S17" s="6"/>
      <c r="T17" s="6"/>
      <c r="U17" s="6"/>
      <c r="V17" s="6"/>
      <c r="W17" s="6"/>
      <c r="X17" s="6"/>
      <c r="Y17" s="6"/>
      <c r="Z17" s="6"/>
    </row>
    <row r="18">
      <c r="A18" s="68"/>
      <c r="B18" s="19"/>
      <c r="C18" s="52"/>
      <c r="D18" s="53" t="s">
        <v>30</v>
      </c>
      <c r="E18" s="63">
        <v>2245.0</v>
      </c>
      <c r="F18" s="59"/>
      <c r="G18" s="56">
        <v>0.0</v>
      </c>
      <c r="H18" s="59"/>
      <c r="I18" s="63">
        <f>4800</f>
        <v>4800</v>
      </c>
      <c r="J18" s="59"/>
      <c r="K18" s="56">
        <f>765+9213+3728</f>
        <v>13706</v>
      </c>
      <c r="L18" s="59"/>
      <c r="M18" s="56">
        <v>0.0</v>
      </c>
      <c r="N18" s="59"/>
      <c r="O18" s="56">
        <f t="shared" si="1"/>
        <v>20751</v>
      </c>
      <c r="P18" s="66"/>
      <c r="Q18" s="19"/>
      <c r="R18" s="35"/>
      <c r="S18" s="6"/>
      <c r="T18" s="6"/>
      <c r="U18" s="6"/>
      <c r="V18" s="6"/>
      <c r="W18" s="6"/>
      <c r="X18" s="6"/>
      <c r="Y18" s="6"/>
      <c r="Z18" s="6"/>
    </row>
    <row r="19">
      <c r="A19" s="23"/>
      <c r="B19" s="19"/>
      <c r="C19" s="52"/>
      <c r="D19" s="53" t="s">
        <v>31</v>
      </c>
      <c r="E19" s="73">
        <f>3750</f>
        <v>3750</v>
      </c>
      <c r="F19" s="59"/>
      <c r="G19" s="63">
        <v>61057.0</v>
      </c>
      <c r="H19" s="59"/>
      <c r="I19" s="63">
        <f>2280/2</f>
        <v>1140</v>
      </c>
      <c r="J19" s="59"/>
      <c r="K19" s="91">
        <f>150775+18084</f>
        <v>168859</v>
      </c>
      <c r="L19" s="59"/>
      <c r="M19" s="56">
        <v>0.0</v>
      </c>
      <c r="N19" s="59"/>
      <c r="O19" s="92">
        <f t="shared" si="1"/>
        <v>234806</v>
      </c>
      <c r="P19" s="66"/>
      <c r="Q19" s="19"/>
      <c r="R19" s="35"/>
      <c r="S19" s="6"/>
      <c r="T19" s="6"/>
      <c r="U19" s="6"/>
      <c r="V19" s="6"/>
      <c r="W19" s="6"/>
      <c r="X19" s="6"/>
      <c r="Y19" s="6"/>
      <c r="Z19" s="6"/>
    </row>
    <row r="20">
      <c r="A20" s="23"/>
      <c r="B20" s="19"/>
      <c r="C20" s="52"/>
      <c r="D20" s="53" t="s">
        <v>32</v>
      </c>
      <c r="E20" s="56">
        <v>0.0</v>
      </c>
      <c r="F20" s="59"/>
      <c r="G20" s="56">
        <v>0.0</v>
      </c>
      <c r="H20" s="59"/>
      <c r="I20" s="56">
        <v>0.0</v>
      </c>
      <c r="J20" s="59"/>
      <c r="K20" s="63">
        <f>3875+600+2800</f>
        <v>7275</v>
      </c>
      <c r="L20" s="59"/>
      <c r="M20" s="56">
        <v>0.0</v>
      </c>
      <c r="N20" s="59"/>
      <c r="O20" s="56">
        <f t="shared" si="1"/>
        <v>7275</v>
      </c>
      <c r="P20" s="66"/>
      <c r="Q20" s="19"/>
      <c r="R20" s="35"/>
      <c r="S20" s="6"/>
      <c r="T20" s="6"/>
      <c r="U20" s="6"/>
      <c r="V20" s="6"/>
      <c r="W20" s="6"/>
      <c r="X20" s="6"/>
      <c r="Y20" s="6"/>
      <c r="Z20" s="6"/>
    </row>
    <row r="21">
      <c r="A21" s="23"/>
      <c r="B21" s="19"/>
      <c r="C21" s="52"/>
      <c r="D21" s="53" t="s">
        <v>33</v>
      </c>
      <c r="E21" s="63">
        <f>5639</f>
        <v>5639</v>
      </c>
      <c r="F21" s="59"/>
      <c r="G21" s="63">
        <v>0.0</v>
      </c>
      <c r="H21" s="59"/>
      <c r="I21" s="63">
        <v>0.0</v>
      </c>
      <c r="J21" s="59"/>
      <c r="K21" s="63">
        <v>0.0</v>
      </c>
      <c r="L21" s="59"/>
      <c r="M21" s="56">
        <v>0.0</v>
      </c>
      <c r="N21" s="59"/>
      <c r="O21" s="56">
        <f t="shared" si="1"/>
        <v>5639</v>
      </c>
      <c r="P21" s="66"/>
      <c r="Q21" s="19"/>
      <c r="R21" s="35"/>
      <c r="S21" s="6"/>
      <c r="T21" s="6"/>
      <c r="U21" s="6"/>
      <c r="V21" s="6"/>
      <c r="W21" s="6"/>
      <c r="X21" s="6"/>
      <c r="Y21" s="6"/>
      <c r="Z21" s="6"/>
    </row>
    <row r="22" ht="21.0" customHeight="1">
      <c r="A22" s="36"/>
      <c r="B22" s="38"/>
      <c r="C22" s="97"/>
      <c r="D22" s="99" t="s">
        <v>34</v>
      </c>
      <c r="E22" s="101">
        <f>SUM(E23:F26)</f>
        <v>945335</v>
      </c>
      <c r="F22" s="59"/>
      <c r="G22" s="101">
        <f>SUM(G23:G26)</f>
        <v>43795</v>
      </c>
      <c r="H22" s="59"/>
      <c r="I22" s="101">
        <f>SUM(I23:I26)</f>
        <v>0</v>
      </c>
      <c r="J22" s="59"/>
      <c r="K22" s="101">
        <f>SUM(K23:K26)</f>
        <v>0</v>
      </c>
      <c r="L22" s="59"/>
      <c r="M22" s="101">
        <f>SUM(M23:M26)</f>
        <v>0</v>
      </c>
      <c r="N22" s="59"/>
      <c r="O22" s="104">
        <f t="shared" si="1"/>
        <v>989130</v>
      </c>
      <c r="P22" s="97"/>
      <c r="Q22" s="38"/>
      <c r="R22" s="48"/>
      <c r="S22" s="50"/>
      <c r="T22" s="50"/>
      <c r="U22" s="50"/>
      <c r="V22" s="50"/>
      <c r="W22" s="50"/>
      <c r="X22" s="50"/>
      <c r="Y22" s="50"/>
      <c r="Z22" s="50"/>
    </row>
    <row r="23">
      <c r="A23" s="23"/>
      <c r="B23" s="19"/>
      <c r="C23" s="106"/>
      <c r="D23" s="108" t="s">
        <v>35</v>
      </c>
      <c r="E23" s="63">
        <v>945335.0</v>
      </c>
      <c r="F23" s="59"/>
      <c r="G23" s="63">
        <v>0.0</v>
      </c>
      <c r="H23" s="59"/>
      <c r="I23" s="56">
        <v>0.0</v>
      </c>
      <c r="J23" s="59"/>
      <c r="K23" s="56">
        <v>0.0</v>
      </c>
      <c r="L23" s="59"/>
      <c r="M23" s="56">
        <v>0.0</v>
      </c>
      <c r="N23" s="59"/>
      <c r="O23" s="56">
        <f t="shared" si="1"/>
        <v>945335</v>
      </c>
      <c r="P23" s="66"/>
      <c r="Q23" s="19"/>
      <c r="R23" s="35"/>
      <c r="S23" s="6"/>
      <c r="T23" s="6"/>
      <c r="U23" s="6"/>
      <c r="V23" s="6"/>
      <c r="W23" s="6"/>
      <c r="X23" s="6"/>
      <c r="Y23" s="6"/>
      <c r="Z23" s="6"/>
    </row>
    <row r="24">
      <c r="A24" s="23"/>
      <c r="B24" s="19"/>
      <c r="C24" s="106"/>
      <c r="D24" s="108" t="s">
        <v>36</v>
      </c>
      <c r="E24" s="56">
        <v>0.0</v>
      </c>
      <c r="F24" s="59"/>
      <c r="G24" s="56">
        <v>0.0</v>
      </c>
      <c r="H24" s="59"/>
      <c r="I24" s="56">
        <v>0.0</v>
      </c>
      <c r="J24" s="59"/>
      <c r="K24" s="56">
        <v>0.0</v>
      </c>
      <c r="L24" s="59"/>
      <c r="M24" s="56">
        <v>0.0</v>
      </c>
      <c r="N24" s="59"/>
      <c r="O24" s="56">
        <f t="shared" si="1"/>
        <v>0</v>
      </c>
      <c r="P24" s="66"/>
      <c r="Q24" s="19"/>
      <c r="R24" s="35"/>
      <c r="S24" s="6"/>
      <c r="T24" s="6"/>
      <c r="U24" s="6"/>
      <c r="V24" s="6"/>
      <c r="W24" s="6"/>
      <c r="X24" s="6"/>
      <c r="Y24" s="6"/>
      <c r="Z24" s="6"/>
    </row>
    <row r="25">
      <c r="A25" s="23"/>
      <c r="B25" s="19"/>
      <c r="C25" s="106"/>
      <c r="D25" s="108" t="s">
        <v>37</v>
      </c>
      <c r="E25" s="56">
        <v>0.0</v>
      </c>
      <c r="F25" s="59"/>
      <c r="G25" s="56">
        <v>0.0</v>
      </c>
      <c r="H25" s="59"/>
      <c r="I25" s="56">
        <v>0.0</v>
      </c>
      <c r="J25" s="59"/>
      <c r="K25" s="56">
        <v>0.0</v>
      </c>
      <c r="L25" s="59"/>
      <c r="M25" s="56">
        <v>0.0</v>
      </c>
      <c r="N25" s="59"/>
      <c r="O25" s="56">
        <f t="shared" si="1"/>
        <v>0</v>
      </c>
      <c r="P25" s="66"/>
      <c r="Q25" s="19"/>
      <c r="R25" s="35"/>
      <c r="S25" s="6"/>
      <c r="T25" s="6"/>
      <c r="U25" s="6"/>
      <c r="V25" s="6"/>
      <c r="W25" s="6"/>
      <c r="X25" s="6"/>
      <c r="Y25" s="6"/>
      <c r="Z25" s="6"/>
    </row>
    <row r="26">
      <c r="A26" s="23"/>
      <c r="B26" s="19"/>
      <c r="C26" s="117"/>
      <c r="D26" s="118" t="s">
        <v>33</v>
      </c>
      <c r="E26" s="119">
        <v>0.0</v>
      </c>
      <c r="F26" s="120"/>
      <c r="G26" s="121">
        <f>43795</f>
        <v>43795</v>
      </c>
      <c r="H26" s="120"/>
      <c r="I26" s="119">
        <v>0.0</v>
      </c>
      <c r="J26" s="120"/>
      <c r="K26" s="119">
        <v>0.0</v>
      </c>
      <c r="L26" s="120"/>
      <c r="M26" s="121">
        <v>0.0</v>
      </c>
      <c r="N26" s="120"/>
      <c r="O26" s="121">
        <f t="shared" si="1"/>
        <v>43795</v>
      </c>
      <c r="P26" s="122"/>
      <c r="Q26" s="19"/>
      <c r="R26" s="35"/>
      <c r="S26" s="6"/>
      <c r="T26" s="6"/>
      <c r="U26" s="6"/>
      <c r="V26" s="6"/>
      <c r="W26" s="6"/>
      <c r="X26" s="6"/>
      <c r="Y26" s="6"/>
      <c r="Z26" s="6"/>
    </row>
    <row r="27">
      <c r="A27" s="23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6"/>
      <c r="T27" s="6"/>
      <c r="U27" s="6"/>
      <c r="V27" s="6"/>
      <c r="W27" s="6"/>
      <c r="X27" s="6"/>
      <c r="Y27" s="6"/>
      <c r="Z27" s="6"/>
    </row>
    <row r="28">
      <c r="A28" s="12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6"/>
      <c r="P28" s="116"/>
      <c r="Q28" s="116"/>
      <c r="R28" s="19"/>
      <c r="S28" s="6"/>
      <c r="T28" s="6"/>
      <c r="U28" s="6"/>
      <c r="V28" s="6"/>
      <c r="W28" s="6"/>
      <c r="X28" s="6"/>
      <c r="Y28" s="6"/>
      <c r="Z28" s="6"/>
    </row>
    <row r="29">
      <c r="A29" s="1">
        <f>NOW()</f>
        <v>46234.09825</v>
      </c>
      <c r="G29" s="2"/>
      <c r="H29" s="2"/>
      <c r="I29" s="3">
        <f t="array" ref="I29">(INDIRECT("I" &amp; ROW() + 1)/INDIRECT("E" &amp; ROW() + 1))</f>
        <v>0.598202359</v>
      </c>
      <c r="K29" s="2"/>
      <c r="L29" s="4">
        <f t="array" ref="L29">(1 - INDIRECT("I" &amp; ROW()))</f>
        <v>0.401797641</v>
      </c>
      <c r="N29" s="2"/>
      <c r="O29" s="5"/>
      <c r="P29" s="5"/>
      <c r="Q29" s="5"/>
      <c r="R29" s="5"/>
      <c r="S29" s="6"/>
      <c r="T29" s="6"/>
      <c r="U29" s="6"/>
      <c r="V29" s="6"/>
      <c r="W29" s="6"/>
      <c r="X29" s="6"/>
      <c r="Y29" s="6"/>
      <c r="Z29" s="6"/>
    </row>
    <row r="30">
      <c r="A30" s="7"/>
      <c r="B30" s="7"/>
      <c r="C30" s="7"/>
      <c r="D30" s="7"/>
      <c r="E30" s="8">
        <f>O50</f>
        <v>1286130</v>
      </c>
      <c r="G30" s="2"/>
      <c r="I30" s="9">
        <f>O35</f>
        <v>769366</v>
      </c>
      <c r="K30" s="2"/>
      <c r="L30" s="11">
        <f>E30-I30</f>
        <v>516764</v>
      </c>
      <c r="N30" s="2"/>
      <c r="P30" s="5"/>
      <c r="Q30" s="5"/>
      <c r="R30" s="5"/>
      <c r="S30" s="6"/>
      <c r="T30" s="6"/>
      <c r="U30" s="6"/>
      <c r="V30" s="6"/>
      <c r="W30" s="6"/>
      <c r="X30" s="6"/>
      <c r="Y30" s="6"/>
      <c r="Z30" s="6"/>
    </row>
    <row r="31">
      <c r="A31" s="14" t="s">
        <v>0</v>
      </c>
      <c r="B31" s="15"/>
      <c r="C31" s="15"/>
      <c r="D31" s="16" t="s">
        <v>1</v>
      </c>
      <c r="E31" s="15"/>
      <c r="F31" s="15"/>
      <c r="G31" s="15"/>
      <c r="H31" s="15"/>
      <c r="I31" s="16" t="s">
        <v>2</v>
      </c>
      <c r="J31" s="15"/>
      <c r="K31" s="15"/>
      <c r="L31" s="16" t="s">
        <v>3</v>
      </c>
      <c r="M31" s="15"/>
      <c r="N31" s="17"/>
      <c r="O31" s="15"/>
      <c r="P31" s="18"/>
      <c r="Q31" s="18"/>
      <c r="R31" s="18"/>
      <c r="S31" s="6"/>
      <c r="T31" s="6"/>
      <c r="U31" s="6"/>
      <c r="V31" s="6"/>
      <c r="W31" s="6"/>
      <c r="X31" s="6"/>
      <c r="Y31" s="6"/>
      <c r="Z31" s="6"/>
    </row>
    <row r="32">
      <c r="A32" s="19"/>
      <c r="D32" s="20"/>
      <c r="E32" s="20"/>
      <c r="F32" s="20" t="s">
        <v>4</v>
      </c>
      <c r="G32" s="20"/>
      <c r="H32" s="20"/>
      <c r="I32" s="20"/>
      <c r="J32" s="20"/>
      <c r="K32" s="20"/>
      <c r="L32" s="20"/>
      <c r="M32" s="20"/>
      <c r="N32" s="20"/>
      <c r="O32" s="19"/>
      <c r="P32" s="19"/>
      <c r="Q32" s="19"/>
      <c r="R32" s="19"/>
      <c r="S32" s="6"/>
      <c r="T32" s="6"/>
      <c r="U32" s="6"/>
      <c r="V32" s="6"/>
      <c r="W32" s="6"/>
      <c r="X32" s="6"/>
      <c r="Y32" s="6"/>
      <c r="Z32" s="6"/>
    </row>
    <row r="33">
      <c r="A33" s="23"/>
      <c r="B33" s="19"/>
      <c r="C33" s="143" t="s">
        <v>38</v>
      </c>
      <c r="Q33" s="19"/>
      <c r="R33" s="19"/>
      <c r="S33" s="6"/>
      <c r="T33" s="6"/>
      <c r="U33" s="6"/>
      <c r="V33" s="6"/>
      <c r="W33" s="6"/>
      <c r="X33" s="6"/>
      <c r="Y33" s="6"/>
      <c r="Z33" s="6"/>
    </row>
    <row r="34">
      <c r="A34" s="23"/>
      <c r="B34" s="28"/>
      <c r="C34" s="29"/>
      <c r="D34" s="30" t="s">
        <v>6</v>
      </c>
      <c r="E34" s="31" t="s">
        <v>7</v>
      </c>
      <c r="G34" s="31" t="s">
        <v>8</v>
      </c>
      <c r="I34" s="31" t="s">
        <v>9</v>
      </c>
      <c r="K34" s="31" t="s">
        <v>10</v>
      </c>
      <c r="M34" s="31" t="s">
        <v>11</v>
      </c>
      <c r="O34" s="33" t="s">
        <v>12</v>
      </c>
      <c r="P34" s="29"/>
      <c r="Q34" s="19"/>
      <c r="R34" s="35"/>
      <c r="S34" s="6"/>
      <c r="T34" s="6"/>
      <c r="U34" s="6"/>
      <c r="V34" s="6"/>
      <c r="W34" s="6"/>
      <c r="X34" s="6"/>
      <c r="Y34" s="6"/>
      <c r="Z34" s="6"/>
    </row>
    <row r="35">
      <c r="A35" s="36"/>
      <c r="B35" s="38"/>
      <c r="C35" s="39"/>
      <c r="D35" s="41" t="s">
        <v>13</v>
      </c>
      <c r="E35" s="43">
        <f>SUM(E36:F49)</f>
        <v>203708</v>
      </c>
      <c r="F35" s="15"/>
      <c r="G35" s="43">
        <f>SUM(G36:H49)</f>
        <v>343883</v>
      </c>
      <c r="H35" s="15"/>
      <c r="I35" s="43">
        <f>SUM(I36:J49)</f>
        <v>94896</v>
      </c>
      <c r="J35" s="15"/>
      <c r="K35" s="43">
        <f>SUM(K36:L49)</f>
        <v>126480</v>
      </c>
      <c r="L35" s="15"/>
      <c r="M35" s="43">
        <f>SUM(M36:M49)</f>
        <v>399</v>
      </c>
      <c r="N35" s="15"/>
      <c r="O35" s="43">
        <f t="shared" ref="O35:O54" si="2">SUM(E35:N35)</f>
        <v>769366</v>
      </c>
      <c r="P35" s="39"/>
      <c r="Q35" s="38"/>
      <c r="R35" s="48"/>
      <c r="S35" s="6"/>
      <c r="T35" s="6"/>
      <c r="U35" s="6"/>
      <c r="V35" s="6"/>
      <c r="W35" s="6"/>
      <c r="X35" s="6"/>
      <c r="Y35" s="6"/>
      <c r="Z35" s="6"/>
    </row>
    <row r="36">
      <c r="A36" s="23"/>
      <c r="B36" s="19"/>
      <c r="C36" s="52"/>
      <c r="D36" s="53" t="s">
        <v>20</v>
      </c>
      <c r="E36" s="56">
        <v>0.0</v>
      </c>
      <c r="F36" s="59"/>
      <c r="G36" s="61">
        <v>209456.0</v>
      </c>
      <c r="H36" s="59"/>
      <c r="I36" s="63">
        <v>0.0</v>
      </c>
      <c r="J36" s="59"/>
      <c r="K36" s="56">
        <v>0.0</v>
      </c>
      <c r="L36" s="59"/>
      <c r="M36" s="56">
        <v>0.0</v>
      </c>
      <c r="N36" s="59"/>
      <c r="O36" s="65">
        <f t="shared" si="2"/>
        <v>209456</v>
      </c>
      <c r="P36" s="66"/>
      <c r="Q36" s="19"/>
      <c r="R36" s="35"/>
      <c r="S36" s="6"/>
      <c r="T36" s="6"/>
      <c r="U36" s="6"/>
      <c r="V36" s="6"/>
      <c r="W36" s="6"/>
      <c r="X36" s="6"/>
      <c r="Y36" s="6"/>
      <c r="Z36" s="6"/>
    </row>
    <row r="37">
      <c r="A37" s="68"/>
      <c r="B37" s="19"/>
      <c r="C37" s="52"/>
      <c r="D37" s="53" t="s">
        <v>21</v>
      </c>
      <c r="E37" s="63">
        <f>2614+469+650+2630+4686+1841+4038+650+329</f>
        <v>17907</v>
      </c>
      <c r="F37" s="59"/>
      <c r="G37" s="73">
        <f>649+1092+4218+3497+3710+385+650</f>
        <v>14201</v>
      </c>
      <c r="H37" s="59"/>
      <c r="I37" s="73">
        <f>2679+2556+4336+385+3705+185+1367</f>
        <v>15213</v>
      </c>
      <c r="J37" s="59"/>
      <c r="K37" s="73">
        <f>2524+1030+2247+3976+2052+3012</f>
        <v>14841</v>
      </c>
      <c r="L37" s="59"/>
      <c r="M37" s="63">
        <v>399.0</v>
      </c>
      <c r="N37" s="59"/>
      <c r="O37" s="84">
        <f t="shared" si="2"/>
        <v>62561</v>
      </c>
      <c r="P37" s="66"/>
      <c r="Q37" s="19"/>
      <c r="R37" s="35"/>
      <c r="S37" s="6"/>
      <c r="T37" s="6"/>
      <c r="U37" s="6"/>
      <c r="V37" s="6"/>
      <c r="W37" s="6"/>
      <c r="X37" s="6"/>
      <c r="Y37" s="6"/>
      <c r="Z37" s="6"/>
    </row>
    <row r="38">
      <c r="A38" s="23"/>
      <c r="B38" s="19"/>
      <c r="C38" s="52"/>
      <c r="D38" s="85" t="s">
        <v>22</v>
      </c>
      <c r="E38" s="63">
        <f>1478+1500</f>
        <v>2978</v>
      </c>
      <c r="F38" s="59"/>
      <c r="G38" s="63">
        <f>1098+1098+4290</f>
        <v>6486</v>
      </c>
      <c r="H38" s="59"/>
      <c r="I38" s="63">
        <f>1245+6550+1320</f>
        <v>9115</v>
      </c>
      <c r="J38" s="59"/>
      <c r="K38" s="63">
        <f>1399+1199+1759</f>
        <v>4357</v>
      </c>
      <c r="L38" s="59"/>
      <c r="M38" s="56">
        <v>0.0</v>
      </c>
      <c r="N38" s="59"/>
      <c r="O38" s="56">
        <f t="shared" si="2"/>
        <v>22936</v>
      </c>
      <c r="P38" s="66"/>
      <c r="Q38" s="19"/>
      <c r="R38" s="35"/>
      <c r="S38" s="6"/>
      <c r="T38" s="6"/>
      <c r="U38" s="6"/>
      <c r="V38" s="6"/>
      <c r="W38" s="6"/>
      <c r="X38" s="6"/>
      <c r="Y38" s="6"/>
      <c r="Z38" s="6"/>
    </row>
    <row r="39">
      <c r="A39" s="23"/>
      <c r="B39" s="19"/>
      <c r="C39" s="52"/>
      <c r="D39" s="85" t="s">
        <v>23</v>
      </c>
      <c r="E39" s="63">
        <f>3532+3500+3500</f>
        <v>10532</v>
      </c>
      <c r="F39" s="59"/>
      <c r="G39" s="63">
        <f>890+3500+891</f>
        <v>5281</v>
      </c>
      <c r="H39" s="59"/>
      <c r="I39" s="63">
        <f>4140+2600</f>
        <v>6740</v>
      </c>
      <c r="J39" s="59"/>
      <c r="K39" s="63">
        <f>3573+3150</f>
        <v>6723</v>
      </c>
      <c r="L39" s="59"/>
      <c r="M39" s="56">
        <v>0.0</v>
      </c>
      <c r="N39" s="59"/>
      <c r="O39" s="84">
        <f t="shared" si="2"/>
        <v>29276</v>
      </c>
      <c r="P39" s="66"/>
      <c r="Q39" s="19"/>
      <c r="R39" s="35"/>
      <c r="S39" s="6"/>
      <c r="T39" s="6"/>
      <c r="U39" s="6"/>
      <c r="V39" s="6"/>
      <c r="W39" s="6"/>
      <c r="X39" s="6"/>
      <c r="Y39" s="6"/>
      <c r="Z39" s="6"/>
    </row>
    <row r="40">
      <c r="A40" s="23"/>
      <c r="B40" s="19"/>
      <c r="C40" s="52"/>
      <c r="D40" s="53" t="s">
        <v>24</v>
      </c>
      <c r="E40" s="63">
        <f>2468+1250+1250</f>
        <v>4968</v>
      </c>
      <c r="F40" s="59"/>
      <c r="G40" s="63">
        <f>1313+1300+1530+1250+1490+450</f>
        <v>7333</v>
      </c>
      <c r="H40" s="59"/>
      <c r="I40" s="63">
        <f>1300+1250+1090+2500/2</f>
        <v>4890</v>
      </c>
      <c r="J40" s="59"/>
      <c r="K40" s="63">
        <f>1300+1250+1490+2880/2</f>
        <v>5480</v>
      </c>
      <c r="L40" s="59"/>
      <c r="M40" s="63">
        <v>0.0</v>
      </c>
      <c r="N40" s="59"/>
      <c r="O40" s="56">
        <f t="shared" si="2"/>
        <v>22671</v>
      </c>
      <c r="P40" s="66"/>
      <c r="Q40" s="19"/>
      <c r="R40" s="35"/>
      <c r="S40" s="6"/>
      <c r="T40" s="6"/>
      <c r="U40" s="6"/>
      <c r="V40" s="6"/>
      <c r="W40" s="6"/>
      <c r="X40" s="6"/>
      <c r="Y40" s="6"/>
      <c r="Z40" s="6"/>
    </row>
    <row r="41">
      <c r="A41" s="23"/>
      <c r="B41" s="19"/>
      <c r="C41" s="52"/>
      <c r="D41" s="53" t="s">
        <v>25</v>
      </c>
      <c r="E41" s="63">
        <v>60000.0</v>
      </c>
      <c r="F41" s="59"/>
      <c r="G41" s="56">
        <f>7535</f>
        <v>7535</v>
      </c>
      <c r="H41" s="59"/>
      <c r="I41" s="56">
        <v>0.0</v>
      </c>
      <c r="J41" s="59"/>
      <c r="K41" s="56">
        <v>0.0</v>
      </c>
      <c r="L41" s="59"/>
      <c r="M41" s="56">
        <v>0.0</v>
      </c>
      <c r="N41" s="59"/>
      <c r="O41" s="56">
        <f t="shared" si="2"/>
        <v>67535</v>
      </c>
      <c r="P41" s="66"/>
      <c r="Q41" s="19"/>
      <c r="R41" s="35"/>
      <c r="S41" s="6"/>
      <c r="T41" s="6"/>
      <c r="U41" s="6"/>
      <c r="V41" s="6"/>
      <c r="W41" s="6"/>
      <c r="X41" s="6"/>
      <c r="Y41" s="6"/>
      <c r="Z41" s="6"/>
    </row>
    <row r="42">
      <c r="A42" s="23"/>
      <c r="B42" s="19"/>
      <c r="C42" s="52"/>
      <c r="D42" s="53" t="s">
        <v>26</v>
      </c>
      <c r="E42" s="56">
        <f>6000</f>
        <v>6000</v>
      </c>
      <c r="F42" s="59"/>
      <c r="G42" s="63">
        <v>0.0</v>
      </c>
      <c r="H42" s="59"/>
      <c r="I42" s="63">
        <f>6000</f>
        <v>6000</v>
      </c>
      <c r="J42" s="59"/>
      <c r="K42" s="63">
        <v>0.0</v>
      </c>
      <c r="L42" s="59"/>
      <c r="M42" s="56">
        <v>0.0</v>
      </c>
      <c r="N42" s="59"/>
      <c r="O42" s="56">
        <f t="shared" si="2"/>
        <v>12000</v>
      </c>
      <c r="P42" s="66"/>
      <c r="Q42" s="19"/>
      <c r="R42" s="35"/>
      <c r="S42" s="6"/>
      <c r="T42" s="6"/>
      <c r="U42" s="6"/>
      <c r="V42" s="6"/>
      <c r="W42" s="6"/>
      <c r="X42" s="6"/>
      <c r="Y42" s="6"/>
      <c r="Z42" s="6"/>
    </row>
    <row r="43">
      <c r="A43" s="23"/>
      <c r="B43" s="19"/>
      <c r="C43" s="52"/>
      <c r="D43" s="53" t="s">
        <v>27</v>
      </c>
      <c r="E43" s="73">
        <v>0.0</v>
      </c>
      <c r="F43" s="59"/>
      <c r="G43" s="63">
        <f>5995</f>
        <v>5995</v>
      </c>
      <c r="H43" s="59"/>
      <c r="I43" s="63">
        <v>0.0</v>
      </c>
      <c r="J43" s="59"/>
      <c r="K43" s="88">
        <v>0.0</v>
      </c>
      <c r="L43" s="59"/>
      <c r="M43" s="56">
        <v>0.0</v>
      </c>
      <c r="N43" s="59"/>
      <c r="O43" s="84">
        <f t="shared" si="2"/>
        <v>5995</v>
      </c>
      <c r="P43" s="66"/>
      <c r="Q43" s="19"/>
      <c r="R43" s="35"/>
      <c r="S43" s="6"/>
      <c r="T43" s="6"/>
      <c r="U43" s="6"/>
      <c r="V43" s="6"/>
      <c r="W43" s="6"/>
      <c r="X43" s="6"/>
      <c r="Y43" s="6"/>
      <c r="Z43" s="6"/>
    </row>
    <row r="44">
      <c r="A44" s="23"/>
      <c r="B44" s="19"/>
      <c r="C44" s="52"/>
      <c r="D44" s="53" t="s">
        <v>28</v>
      </c>
      <c r="E44" s="73">
        <f>11320+17760</f>
        <v>29080</v>
      </c>
      <c r="F44" s="59"/>
      <c r="G44" s="56">
        <v>0.0</v>
      </c>
      <c r="H44" s="59"/>
      <c r="I44" s="73">
        <f>1500+2454+21550+15345</f>
        <v>40849</v>
      </c>
      <c r="J44" s="59"/>
      <c r="K44" s="56">
        <v>0.0</v>
      </c>
      <c r="L44" s="59"/>
      <c r="M44" s="56">
        <v>0.0</v>
      </c>
      <c r="N44" s="59"/>
      <c r="O44" s="65">
        <f t="shared" si="2"/>
        <v>69929</v>
      </c>
      <c r="P44" s="66"/>
      <c r="Q44" s="19"/>
      <c r="R44" s="35"/>
      <c r="S44" s="6"/>
      <c r="T44" s="6"/>
      <c r="U44" s="6"/>
      <c r="V44" s="6"/>
      <c r="W44" s="6"/>
      <c r="X44" s="6"/>
      <c r="Y44" s="6"/>
      <c r="Z44" s="6"/>
    </row>
    <row r="45">
      <c r="A45" s="23"/>
      <c r="B45" s="19"/>
      <c r="C45" s="52"/>
      <c r="D45" s="53" t="s">
        <v>29</v>
      </c>
      <c r="E45" s="63">
        <f>8950</f>
        <v>8950</v>
      </c>
      <c r="F45" s="59"/>
      <c r="G45" s="56">
        <v>0.0</v>
      </c>
      <c r="H45" s="59"/>
      <c r="I45" s="63">
        <v>0.0</v>
      </c>
      <c r="J45" s="59"/>
      <c r="K45" s="56">
        <v>0.0</v>
      </c>
      <c r="L45" s="59"/>
      <c r="M45" s="56">
        <v>0.0</v>
      </c>
      <c r="N45" s="59"/>
      <c r="O45" s="56">
        <f t="shared" si="2"/>
        <v>8950</v>
      </c>
      <c r="P45" s="66"/>
      <c r="Q45" s="19"/>
      <c r="R45" s="35"/>
      <c r="S45" s="6"/>
      <c r="T45" s="6"/>
      <c r="U45" s="6"/>
      <c r="V45" s="6"/>
      <c r="W45" s="6"/>
      <c r="X45" s="6"/>
      <c r="Y45" s="6"/>
      <c r="Z45" s="6"/>
    </row>
    <row r="46">
      <c r="A46" s="68"/>
      <c r="B46" s="19"/>
      <c r="C46" s="52"/>
      <c r="D46" s="53" t="s">
        <v>30</v>
      </c>
      <c r="E46" s="63">
        <f>2245+1128</f>
        <v>3373</v>
      </c>
      <c r="F46" s="59"/>
      <c r="G46" s="56">
        <f>9106+3649</f>
        <v>12755</v>
      </c>
      <c r="H46" s="59"/>
      <c r="I46" s="63">
        <f>4039+4800</f>
        <v>8839</v>
      </c>
      <c r="J46" s="59"/>
      <c r="K46" s="63">
        <f>760</f>
        <v>760</v>
      </c>
      <c r="L46" s="59"/>
      <c r="M46" s="56">
        <v>0.0</v>
      </c>
      <c r="N46" s="59"/>
      <c r="O46" s="56">
        <f t="shared" si="2"/>
        <v>25727</v>
      </c>
      <c r="P46" s="66"/>
      <c r="Q46" s="19"/>
      <c r="R46" s="35"/>
      <c r="S46" s="6"/>
      <c r="T46" s="6"/>
      <c r="U46" s="6"/>
      <c r="V46" s="6"/>
      <c r="W46" s="6"/>
      <c r="X46" s="6"/>
      <c r="Y46" s="6"/>
      <c r="Z46" s="6"/>
    </row>
    <row r="47">
      <c r="A47" s="23"/>
      <c r="B47" s="19"/>
      <c r="C47" s="52"/>
      <c r="D47" s="53" t="s">
        <v>31</v>
      </c>
      <c r="E47" s="73">
        <f>59920</f>
        <v>59920</v>
      </c>
      <c r="F47" s="59"/>
      <c r="G47" s="63">
        <f>74841</f>
        <v>74841</v>
      </c>
      <c r="H47" s="59"/>
      <c r="I47" s="63">
        <f>2500/2</f>
        <v>1250</v>
      </c>
      <c r="J47" s="59"/>
      <c r="K47" s="91">
        <f>1300+88886+2880/2</f>
        <v>91626</v>
      </c>
      <c r="L47" s="59"/>
      <c r="M47" s="56">
        <v>0.0</v>
      </c>
      <c r="N47" s="59"/>
      <c r="O47" s="185">
        <f t="shared" si="2"/>
        <v>227637</v>
      </c>
      <c r="P47" s="66"/>
      <c r="Q47" s="19"/>
      <c r="R47" s="35"/>
      <c r="S47" s="6"/>
      <c r="T47" s="6"/>
      <c r="U47" s="6"/>
      <c r="V47" s="6"/>
      <c r="W47" s="6"/>
      <c r="X47" s="6"/>
      <c r="Y47" s="6"/>
      <c r="Z47" s="6"/>
    </row>
    <row r="48">
      <c r="A48" s="23"/>
      <c r="B48" s="19"/>
      <c r="C48" s="52"/>
      <c r="D48" s="53" t="s">
        <v>32</v>
      </c>
      <c r="E48" s="56">
        <v>0.0</v>
      </c>
      <c r="F48" s="59"/>
      <c r="G48" s="56">
        <v>0.0</v>
      </c>
      <c r="H48" s="59"/>
      <c r="I48" s="56">
        <v>0.0</v>
      </c>
      <c r="J48" s="59"/>
      <c r="K48" s="63">
        <v>0.0</v>
      </c>
      <c r="L48" s="59"/>
      <c r="M48" s="56">
        <v>0.0</v>
      </c>
      <c r="N48" s="59"/>
      <c r="O48" s="56">
        <f t="shared" si="2"/>
        <v>0</v>
      </c>
      <c r="P48" s="66"/>
      <c r="Q48" s="19"/>
      <c r="R48" s="35"/>
      <c r="S48" s="6"/>
      <c r="T48" s="6"/>
      <c r="U48" s="6"/>
      <c r="V48" s="6"/>
      <c r="W48" s="6"/>
      <c r="X48" s="6"/>
      <c r="Y48" s="6"/>
      <c r="Z48" s="6"/>
    </row>
    <row r="49">
      <c r="A49" s="23"/>
      <c r="B49" s="19"/>
      <c r="C49" s="52"/>
      <c r="D49" s="53" t="s">
        <v>33</v>
      </c>
      <c r="E49" s="63">
        <v>0.0</v>
      </c>
      <c r="F49" s="59"/>
      <c r="G49" s="63">
        <v>0.0</v>
      </c>
      <c r="H49" s="59"/>
      <c r="I49" s="63">
        <f>2000</f>
        <v>2000</v>
      </c>
      <c r="J49" s="59"/>
      <c r="K49" s="63">
        <f>2693</f>
        <v>2693</v>
      </c>
      <c r="L49" s="59"/>
      <c r="M49" s="56">
        <v>0.0</v>
      </c>
      <c r="N49" s="59"/>
      <c r="O49" s="56">
        <f t="shared" si="2"/>
        <v>4693</v>
      </c>
      <c r="P49" s="66"/>
      <c r="Q49" s="19"/>
      <c r="R49" s="35"/>
      <c r="S49" s="6"/>
      <c r="T49" s="6"/>
      <c r="U49" s="6"/>
      <c r="V49" s="6"/>
      <c r="W49" s="6"/>
      <c r="X49" s="6"/>
      <c r="Y49" s="6"/>
      <c r="Z49" s="6"/>
    </row>
    <row r="50">
      <c r="A50" s="36"/>
      <c r="B50" s="38"/>
      <c r="C50" s="97"/>
      <c r="D50" s="99" t="s">
        <v>34</v>
      </c>
      <c r="E50" s="101">
        <f>SUM(E51:F54)</f>
        <v>947335</v>
      </c>
      <c r="F50" s="59"/>
      <c r="G50" s="101">
        <f>SUM(G51:G54)</f>
        <v>338795</v>
      </c>
      <c r="H50" s="59"/>
      <c r="I50" s="101">
        <f>SUM(I51:I54)</f>
        <v>0</v>
      </c>
      <c r="J50" s="59"/>
      <c r="K50" s="101">
        <f>SUM(K51:K54)</f>
        <v>0</v>
      </c>
      <c r="L50" s="59"/>
      <c r="M50" s="101">
        <f>SUM(M51:M54)</f>
        <v>0</v>
      </c>
      <c r="N50" s="59"/>
      <c r="O50" s="101">
        <f t="shared" si="2"/>
        <v>1286130</v>
      </c>
      <c r="P50" s="97"/>
      <c r="Q50" s="38"/>
      <c r="R50" s="48"/>
      <c r="S50" s="6"/>
      <c r="T50" s="6"/>
      <c r="U50" s="6"/>
      <c r="V50" s="6"/>
      <c r="W50" s="6"/>
      <c r="X50" s="6"/>
      <c r="Y50" s="6"/>
      <c r="Z50" s="6"/>
    </row>
    <row r="51">
      <c r="A51" s="23"/>
      <c r="B51" s="19"/>
      <c r="C51" s="106"/>
      <c r="D51" s="108" t="s">
        <v>35</v>
      </c>
      <c r="E51" s="63">
        <v>947335.0</v>
      </c>
      <c r="F51" s="59"/>
      <c r="G51" s="63">
        <f>295000</f>
        <v>295000</v>
      </c>
      <c r="H51" s="59"/>
      <c r="I51" s="56">
        <v>0.0</v>
      </c>
      <c r="J51" s="59"/>
      <c r="K51" s="56">
        <v>0.0</v>
      </c>
      <c r="L51" s="59"/>
      <c r="M51" s="56">
        <v>0.0</v>
      </c>
      <c r="N51" s="59"/>
      <c r="O51" s="56">
        <f t="shared" si="2"/>
        <v>1242335</v>
      </c>
      <c r="P51" s="66"/>
      <c r="Q51" s="19"/>
      <c r="R51" s="35"/>
      <c r="S51" s="6"/>
      <c r="T51" s="6"/>
      <c r="U51" s="6"/>
      <c r="V51" s="6"/>
      <c r="W51" s="6"/>
      <c r="X51" s="6"/>
      <c r="Y51" s="6"/>
      <c r="Z51" s="6"/>
    </row>
    <row r="52">
      <c r="A52" s="23"/>
      <c r="B52" s="19"/>
      <c r="C52" s="106"/>
      <c r="D52" s="108" t="s">
        <v>36</v>
      </c>
      <c r="E52" s="56">
        <v>0.0</v>
      </c>
      <c r="F52" s="59"/>
      <c r="G52" s="56">
        <v>0.0</v>
      </c>
      <c r="H52" s="59"/>
      <c r="I52" s="56">
        <v>0.0</v>
      </c>
      <c r="J52" s="59"/>
      <c r="K52" s="56">
        <v>0.0</v>
      </c>
      <c r="L52" s="59"/>
      <c r="M52" s="56">
        <v>0.0</v>
      </c>
      <c r="N52" s="59"/>
      <c r="O52" s="56">
        <f t="shared" si="2"/>
        <v>0</v>
      </c>
      <c r="P52" s="66"/>
      <c r="Q52" s="19"/>
      <c r="R52" s="35"/>
      <c r="S52" s="6"/>
      <c r="T52" s="6"/>
      <c r="U52" s="6"/>
      <c r="V52" s="6"/>
      <c r="W52" s="6"/>
      <c r="X52" s="6"/>
      <c r="Y52" s="6"/>
      <c r="Z52" s="6"/>
    </row>
    <row r="53">
      <c r="A53" s="23"/>
      <c r="B53" s="19"/>
      <c r="C53" s="106"/>
      <c r="D53" s="108" t="s">
        <v>37</v>
      </c>
      <c r="E53" s="56">
        <v>0.0</v>
      </c>
      <c r="F53" s="59"/>
      <c r="G53" s="56">
        <v>0.0</v>
      </c>
      <c r="H53" s="59"/>
      <c r="I53" s="56">
        <v>0.0</v>
      </c>
      <c r="J53" s="59"/>
      <c r="K53" s="56">
        <v>0.0</v>
      </c>
      <c r="L53" s="59"/>
      <c r="M53" s="56">
        <v>0.0</v>
      </c>
      <c r="N53" s="59"/>
      <c r="O53" s="56">
        <f t="shared" si="2"/>
        <v>0</v>
      </c>
      <c r="P53" s="66"/>
      <c r="Q53" s="19"/>
      <c r="R53" s="35"/>
      <c r="S53" s="6"/>
      <c r="T53" s="6"/>
      <c r="U53" s="6"/>
      <c r="V53" s="6"/>
      <c r="W53" s="6"/>
      <c r="X53" s="6"/>
      <c r="Y53" s="6"/>
      <c r="Z53" s="6"/>
    </row>
    <row r="54">
      <c r="A54" s="23"/>
      <c r="B54" s="19"/>
      <c r="C54" s="117"/>
      <c r="D54" s="118" t="s">
        <v>33</v>
      </c>
      <c r="E54" s="119">
        <v>0.0</v>
      </c>
      <c r="F54" s="120"/>
      <c r="G54" s="121">
        <f>43795</f>
        <v>43795</v>
      </c>
      <c r="H54" s="120"/>
      <c r="I54" s="119">
        <v>0.0</v>
      </c>
      <c r="J54" s="120"/>
      <c r="K54" s="119">
        <v>0.0</v>
      </c>
      <c r="L54" s="120"/>
      <c r="M54" s="121">
        <v>0.0</v>
      </c>
      <c r="N54" s="120"/>
      <c r="O54" s="121">
        <f t="shared" si="2"/>
        <v>43795</v>
      </c>
      <c r="P54" s="122"/>
      <c r="Q54" s="19"/>
      <c r="R54" s="35"/>
      <c r="S54" s="6"/>
      <c r="T54" s="6"/>
      <c r="U54" s="6"/>
      <c r="V54" s="6"/>
      <c r="W54" s="6"/>
      <c r="X54" s="6"/>
      <c r="Y54" s="6"/>
      <c r="Z54" s="6"/>
    </row>
    <row r="55">
      <c r="A55" s="23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6"/>
      <c r="T55" s="6"/>
      <c r="U55" s="6"/>
      <c r="V55" s="6"/>
      <c r="W55" s="6"/>
      <c r="X55" s="6"/>
      <c r="Y55" s="6"/>
      <c r="Z55" s="6"/>
    </row>
    <row r="56">
      <c r="A56" s="12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6"/>
      <c r="P56" s="116"/>
      <c r="Q56" s="116"/>
      <c r="R56" s="19"/>
      <c r="S56" s="6"/>
      <c r="T56" s="6"/>
      <c r="U56" s="6"/>
      <c r="V56" s="6"/>
      <c r="W56" s="6"/>
      <c r="X56" s="6"/>
      <c r="Y56" s="6"/>
      <c r="Z56" s="6"/>
    </row>
    <row r="57">
      <c r="A57" s="1">
        <f>NOW()</f>
        <v>46234.09825</v>
      </c>
      <c r="G57" s="2"/>
      <c r="H57" s="2"/>
      <c r="I57" s="3">
        <f t="array" ref="I57">(INDIRECT("I" &amp; ROW() + 1)/INDIRECT("E" &amp; ROW() + 1))</f>
        <v>0.9488755259</v>
      </c>
      <c r="K57" s="2"/>
      <c r="L57" s="4">
        <f t="array" ref="L57">(1 - INDIRECT("I" &amp; ROW()))</f>
        <v>0.05112447409</v>
      </c>
      <c r="N57" s="2"/>
      <c r="O57" s="5"/>
      <c r="P57" s="5"/>
      <c r="Q57" s="5"/>
      <c r="R57" s="5"/>
      <c r="S57" s="6"/>
      <c r="T57" s="6"/>
      <c r="U57" s="6"/>
      <c r="V57" s="6"/>
      <c r="W57" s="6"/>
      <c r="X57" s="6"/>
      <c r="Y57" s="6"/>
      <c r="Z57" s="6"/>
    </row>
    <row r="58">
      <c r="A58" s="7"/>
      <c r="B58" s="7"/>
      <c r="C58" s="7"/>
      <c r="D58" s="7"/>
      <c r="E58" s="8">
        <f>O78</f>
        <v>991130</v>
      </c>
      <c r="G58" s="2"/>
      <c r="I58" s="9">
        <f>O63</f>
        <v>940459</v>
      </c>
      <c r="K58" s="2"/>
      <c r="L58" s="11">
        <f>E58-I58</f>
        <v>50671</v>
      </c>
      <c r="N58" s="2"/>
      <c r="P58" s="5"/>
      <c r="Q58" s="5"/>
      <c r="R58" s="5"/>
      <c r="S58" s="6"/>
      <c r="T58" s="6"/>
      <c r="U58" s="6"/>
      <c r="V58" s="6"/>
      <c r="W58" s="6"/>
      <c r="X58" s="6"/>
      <c r="Y58" s="6"/>
      <c r="Z58" s="6"/>
    </row>
    <row r="59">
      <c r="A59" s="14" t="s">
        <v>0</v>
      </c>
      <c r="B59" s="15"/>
      <c r="C59" s="15"/>
      <c r="D59" s="16" t="s">
        <v>1</v>
      </c>
      <c r="E59" s="15"/>
      <c r="F59" s="15"/>
      <c r="G59" s="15"/>
      <c r="H59" s="15"/>
      <c r="I59" s="16" t="s">
        <v>2</v>
      </c>
      <c r="J59" s="15"/>
      <c r="K59" s="15"/>
      <c r="L59" s="16" t="s">
        <v>3</v>
      </c>
      <c r="M59" s="15"/>
      <c r="N59" s="17"/>
      <c r="O59" s="15"/>
      <c r="P59" s="18"/>
      <c r="Q59" s="18"/>
      <c r="R59" s="18"/>
      <c r="S59" s="6"/>
      <c r="T59" s="6"/>
      <c r="U59" s="6"/>
      <c r="V59" s="6"/>
      <c r="W59" s="6"/>
      <c r="X59" s="6"/>
      <c r="Y59" s="6"/>
      <c r="Z59" s="6"/>
    </row>
    <row r="60">
      <c r="A60" s="19"/>
      <c r="D60" s="20"/>
      <c r="E60" s="20"/>
      <c r="F60" s="20" t="s">
        <v>4</v>
      </c>
      <c r="G60" s="20"/>
      <c r="H60" s="20"/>
      <c r="I60" s="20"/>
      <c r="J60" s="20"/>
      <c r="K60" s="20"/>
      <c r="L60" s="20"/>
      <c r="M60" s="20"/>
      <c r="N60" s="20"/>
      <c r="O60" s="19"/>
      <c r="P60" s="19"/>
      <c r="Q60" s="19"/>
      <c r="R60" s="19"/>
      <c r="S60" s="6"/>
      <c r="T60" s="6"/>
      <c r="U60" s="6"/>
      <c r="V60" s="6"/>
      <c r="W60" s="6"/>
      <c r="X60" s="6"/>
      <c r="Y60" s="6"/>
      <c r="Z60" s="6"/>
    </row>
    <row r="61">
      <c r="A61" s="23"/>
      <c r="B61" s="19"/>
      <c r="C61" s="143" t="s">
        <v>50</v>
      </c>
      <c r="Q61" s="19"/>
      <c r="R61" s="19"/>
      <c r="S61" s="6"/>
      <c r="T61" s="6"/>
      <c r="U61" s="6"/>
      <c r="V61" s="6"/>
      <c r="W61" s="6"/>
      <c r="X61" s="6"/>
      <c r="Y61" s="6"/>
      <c r="Z61" s="6"/>
    </row>
    <row r="62">
      <c r="A62" s="23"/>
      <c r="B62" s="28"/>
      <c r="C62" s="29"/>
      <c r="D62" s="30" t="s">
        <v>6</v>
      </c>
      <c r="E62" s="31" t="s">
        <v>7</v>
      </c>
      <c r="G62" s="31" t="s">
        <v>8</v>
      </c>
      <c r="I62" s="31" t="s">
        <v>9</v>
      </c>
      <c r="K62" s="31" t="s">
        <v>10</v>
      </c>
      <c r="M62" s="31" t="s">
        <v>11</v>
      </c>
      <c r="O62" s="33" t="s">
        <v>12</v>
      </c>
      <c r="P62" s="29"/>
      <c r="Q62" s="19"/>
      <c r="R62" s="35"/>
      <c r="S62" s="6"/>
      <c r="T62" s="6"/>
      <c r="U62" s="6"/>
      <c r="V62" s="6"/>
      <c r="W62" s="6"/>
      <c r="X62" s="6"/>
      <c r="Y62" s="6"/>
      <c r="Z62" s="6"/>
    </row>
    <row r="63">
      <c r="A63" s="36"/>
      <c r="B63" s="38"/>
      <c r="C63" s="39"/>
      <c r="D63" s="41" t="s">
        <v>13</v>
      </c>
      <c r="E63" s="43">
        <f>SUM(E64:F77)</f>
        <v>165520</v>
      </c>
      <c r="F63" s="15"/>
      <c r="G63" s="43">
        <f>SUM(G64:H77)</f>
        <v>269465</v>
      </c>
      <c r="H63" s="15"/>
      <c r="I63" s="43">
        <f>SUM(I64:J77)</f>
        <v>202782</v>
      </c>
      <c r="J63" s="15"/>
      <c r="K63" s="43">
        <f>SUM(K64:L77)</f>
        <v>114664</v>
      </c>
      <c r="L63" s="15"/>
      <c r="M63" s="43">
        <f>SUM(M64:M77)</f>
        <v>188028</v>
      </c>
      <c r="N63" s="15"/>
      <c r="O63" s="43">
        <f t="shared" ref="O63:O82" si="3">SUM(E63:N63)</f>
        <v>940459</v>
      </c>
      <c r="P63" s="39"/>
      <c r="Q63" s="38"/>
      <c r="R63" s="48"/>
      <c r="S63" s="6"/>
      <c r="T63" s="6"/>
      <c r="U63" s="6"/>
      <c r="V63" s="6"/>
      <c r="W63" s="6"/>
      <c r="X63" s="6"/>
      <c r="Y63" s="6"/>
      <c r="Z63" s="6"/>
    </row>
    <row r="64">
      <c r="A64" s="23"/>
      <c r="B64" s="19"/>
      <c r="C64" s="52"/>
      <c r="D64" s="53" t="s">
        <v>20</v>
      </c>
      <c r="E64" s="56">
        <v>0.0</v>
      </c>
      <c r="F64" s="59"/>
      <c r="G64" s="61">
        <f>281000-80127</f>
        <v>200873</v>
      </c>
      <c r="H64" s="59"/>
      <c r="I64" s="63">
        <v>0.0</v>
      </c>
      <c r="J64" s="59"/>
      <c r="K64" s="56">
        <v>0.0</v>
      </c>
      <c r="L64" s="59"/>
      <c r="M64" s="56">
        <v>0.0</v>
      </c>
      <c r="N64" s="59"/>
      <c r="O64" s="65">
        <f t="shared" si="3"/>
        <v>200873</v>
      </c>
      <c r="P64" s="66"/>
      <c r="Q64" s="19"/>
      <c r="R64" s="35"/>
      <c r="S64" s="6"/>
      <c r="T64" s="6"/>
      <c r="U64" s="6"/>
      <c r="V64" s="6"/>
      <c r="W64" s="6"/>
      <c r="X64" s="6"/>
      <c r="Y64" s="6"/>
      <c r="Z64" s="6"/>
    </row>
    <row r="65">
      <c r="A65" s="68"/>
      <c r="B65" s="19"/>
      <c r="C65" s="52"/>
      <c r="D65" s="53" t="s">
        <v>21</v>
      </c>
      <c r="E65" s="63">
        <f>439+848+1399+1322+2922+1499+2043+3133+837+748+1507</f>
        <v>16697</v>
      </c>
      <c r="F65" s="59"/>
      <c r="G65" s="73">
        <f>359+899+399+999+574+1299+300+2883+1228+2546+850+4495+1418</f>
        <v>18249</v>
      </c>
      <c r="H65" s="59"/>
      <c r="I65" s="73">
        <f>1283+260+558+607+439+349+649+1374</f>
        <v>5519</v>
      </c>
      <c r="J65" s="59"/>
      <c r="K65" s="73">
        <f>5991+1448+843+999+698+2635</f>
        <v>12614</v>
      </c>
      <c r="L65" s="59"/>
      <c r="M65" s="63">
        <f>489+949+2098+894+3753+485+1190</f>
        <v>9858</v>
      </c>
      <c r="N65" s="59"/>
      <c r="O65" s="84">
        <f t="shared" si="3"/>
        <v>62937</v>
      </c>
      <c r="P65" s="66"/>
      <c r="Q65" s="19"/>
      <c r="R65" s="35"/>
      <c r="S65" s="6"/>
      <c r="T65" s="6"/>
      <c r="U65" s="6"/>
      <c r="V65" s="6"/>
      <c r="W65" s="6"/>
      <c r="X65" s="6"/>
      <c r="Y65" s="6"/>
      <c r="Z65" s="6"/>
    </row>
    <row r="66">
      <c r="A66" s="23"/>
      <c r="B66" s="19"/>
      <c r="C66" s="52"/>
      <c r="D66" s="85" t="s">
        <v>22</v>
      </c>
      <c r="E66" s="63">
        <f>885</f>
        <v>885</v>
      </c>
      <c r="F66" s="59"/>
      <c r="G66" s="63">
        <f>1077+897</f>
        <v>1974</v>
      </c>
      <c r="H66" s="59"/>
      <c r="I66" s="63">
        <f>559</f>
        <v>559</v>
      </c>
      <c r="J66" s="59"/>
      <c r="K66" s="63">
        <v>0.0</v>
      </c>
      <c r="L66" s="59"/>
      <c r="M66" s="56">
        <f>658</f>
        <v>658</v>
      </c>
      <c r="N66" s="59"/>
      <c r="O66" s="56">
        <f t="shared" si="3"/>
        <v>4076</v>
      </c>
      <c r="P66" s="66"/>
      <c r="Q66" s="19"/>
      <c r="R66" s="35"/>
      <c r="S66" s="6"/>
      <c r="T66" s="6"/>
      <c r="U66" s="6"/>
      <c r="V66" s="6"/>
      <c r="W66" s="6"/>
      <c r="X66" s="6"/>
      <c r="Y66" s="6"/>
      <c r="Z66" s="6"/>
    </row>
    <row r="67">
      <c r="A67" s="23"/>
      <c r="B67" s="19"/>
      <c r="C67" s="52"/>
      <c r="D67" s="85" t="s">
        <v>23</v>
      </c>
      <c r="E67" s="63">
        <f>12790/2+2600+3500+2750+2600+3540</f>
        <v>21385</v>
      </c>
      <c r="F67" s="59"/>
      <c r="G67" s="63">
        <f>6440/2+3150</f>
        <v>6370</v>
      </c>
      <c r="H67" s="59"/>
      <c r="I67" s="63">
        <f>7257+3500+3030+2880</f>
        <v>16667</v>
      </c>
      <c r="J67" s="59"/>
      <c r="K67" s="63">
        <v>0.0</v>
      </c>
      <c r="L67" s="59"/>
      <c r="M67" s="56">
        <f>3036+2600+4526</f>
        <v>10162</v>
      </c>
      <c r="N67" s="59"/>
      <c r="O67" s="84">
        <f t="shared" si="3"/>
        <v>54584</v>
      </c>
      <c r="P67" s="66"/>
      <c r="Q67" s="19"/>
      <c r="R67" s="35"/>
      <c r="S67" s="6"/>
      <c r="T67" s="6"/>
      <c r="U67" s="6"/>
      <c r="V67" s="6"/>
      <c r="W67" s="6"/>
      <c r="X67" s="6"/>
      <c r="Y67" s="6"/>
      <c r="Z67" s="6"/>
    </row>
    <row r="68">
      <c r="A68" s="23"/>
      <c r="B68" s="19"/>
      <c r="C68" s="52"/>
      <c r="D68" s="53" t="s">
        <v>24</v>
      </c>
      <c r="E68" s="63">
        <f>2600/2+1250+1300+1250+1300</f>
        <v>6400</v>
      </c>
      <c r="F68" s="59"/>
      <c r="G68" s="63">
        <f>1150+2600/2+1880/2+1250+1290+1250</f>
        <v>7180</v>
      </c>
      <c r="H68" s="59"/>
      <c r="I68" s="63">
        <f>1290+1300+1450</f>
        <v>4040</v>
      </c>
      <c r="J68" s="59"/>
      <c r="K68" s="63">
        <f>2340/2</f>
        <v>1170</v>
      </c>
      <c r="L68" s="59"/>
      <c r="M68" s="63">
        <f>3100/2+1300+1250</f>
        <v>4100</v>
      </c>
      <c r="N68" s="59"/>
      <c r="O68" s="56">
        <f t="shared" si="3"/>
        <v>22890</v>
      </c>
      <c r="P68" s="66"/>
      <c r="Q68" s="19"/>
      <c r="R68" s="35"/>
      <c r="S68" s="6"/>
      <c r="T68" s="6"/>
      <c r="U68" s="6"/>
      <c r="V68" s="6"/>
      <c r="W68" s="6"/>
      <c r="X68" s="6"/>
      <c r="Y68" s="6"/>
      <c r="Z68" s="6"/>
    </row>
    <row r="69">
      <c r="A69" s="23"/>
      <c r="B69" s="19"/>
      <c r="C69" s="52"/>
      <c r="D69" s="53" t="s">
        <v>25</v>
      </c>
      <c r="E69" s="63">
        <v>0.0</v>
      </c>
      <c r="F69" s="59"/>
      <c r="G69" s="63">
        <v>0.0</v>
      </c>
      <c r="H69" s="59"/>
      <c r="I69" s="56">
        <v>0.0</v>
      </c>
      <c r="J69" s="59"/>
      <c r="K69" s="56">
        <f>15000</f>
        <v>15000</v>
      </c>
      <c r="L69" s="59"/>
      <c r="M69" s="56">
        <v>0.0</v>
      </c>
      <c r="N69" s="59"/>
      <c r="O69" s="56">
        <f t="shared" si="3"/>
        <v>15000</v>
      </c>
      <c r="P69" s="66"/>
      <c r="Q69" s="19"/>
      <c r="R69" s="35"/>
      <c r="S69" s="6"/>
      <c r="T69" s="6"/>
      <c r="U69" s="6"/>
      <c r="V69" s="6"/>
      <c r="W69" s="6"/>
      <c r="X69" s="6"/>
      <c r="Y69" s="6"/>
      <c r="Z69" s="6"/>
    </row>
    <row r="70">
      <c r="A70" s="23"/>
      <c r="B70" s="19"/>
      <c r="C70" s="52"/>
      <c r="D70" s="53" t="s">
        <v>26</v>
      </c>
      <c r="E70" s="63">
        <f>6000</f>
        <v>6000</v>
      </c>
      <c r="F70" s="59"/>
      <c r="G70" s="63">
        <f>4610</f>
        <v>4610</v>
      </c>
      <c r="H70" s="59"/>
      <c r="I70" s="63">
        <v>0.0</v>
      </c>
      <c r="J70" s="59"/>
      <c r="K70" s="63">
        <v>0.0</v>
      </c>
      <c r="L70" s="59"/>
      <c r="M70" s="56">
        <f>6000</f>
        <v>6000</v>
      </c>
      <c r="N70" s="59"/>
      <c r="O70" s="56">
        <f t="shared" si="3"/>
        <v>16610</v>
      </c>
      <c r="P70" s="66"/>
      <c r="Q70" s="19"/>
      <c r="R70" s="35"/>
      <c r="S70" s="6"/>
      <c r="T70" s="6"/>
      <c r="U70" s="6"/>
      <c r="V70" s="6"/>
      <c r="W70" s="6"/>
      <c r="X70" s="6"/>
      <c r="Y70" s="6"/>
      <c r="Z70" s="6"/>
    </row>
    <row r="71">
      <c r="A71" s="23"/>
      <c r="B71" s="19"/>
      <c r="C71" s="52"/>
      <c r="D71" s="53" t="s">
        <v>27</v>
      </c>
      <c r="E71" s="73">
        <f>6995</f>
        <v>6995</v>
      </c>
      <c r="F71" s="59"/>
      <c r="G71" s="63">
        <f>11696</f>
        <v>11696</v>
      </c>
      <c r="H71" s="59"/>
      <c r="I71" s="63">
        <v>0.0</v>
      </c>
      <c r="J71" s="59"/>
      <c r="K71" s="199">
        <f>19830+29580+3595</f>
        <v>53005</v>
      </c>
      <c r="L71" s="59"/>
      <c r="M71" s="63">
        <v>23580.0</v>
      </c>
      <c r="N71" s="59"/>
      <c r="O71" s="84">
        <f t="shared" si="3"/>
        <v>95276</v>
      </c>
      <c r="P71" s="66"/>
      <c r="Q71" s="19"/>
      <c r="R71" s="35"/>
      <c r="S71" s="6"/>
      <c r="T71" s="6"/>
      <c r="U71" s="6"/>
      <c r="V71" s="6"/>
      <c r="W71" s="6"/>
      <c r="X71" s="6"/>
      <c r="Y71" s="6"/>
      <c r="Z71" s="6"/>
    </row>
    <row r="72">
      <c r="A72" s="23"/>
      <c r="B72" s="19"/>
      <c r="C72" s="52"/>
      <c r="D72" s="53" t="s">
        <v>28</v>
      </c>
      <c r="E72" s="73">
        <v>0.0</v>
      </c>
      <c r="F72" s="59"/>
      <c r="G72" s="56">
        <v>0.0</v>
      </c>
      <c r="H72" s="59"/>
      <c r="I72" s="73">
        <f>41415+41411+1862+35511+1970+1576</f>
        <v>123745</v>
      </c>
      <c r="J72" s="59"/>
      <c r="K72" s="56">
        <f>2603+16000+9374</f>
        <v>27977</v>
      </c>
      <c r="L72" s="59"/>
      <c r="M72" s="56">
        <v>0.0</v>
      </c>
      <c r="N72" s="59"/>
      <c r="O72" s="65">
        <f t="shared" si="3"/>
        <v>151722</v>
      </c>
      <c r="P72" s="66"/>
      <c r="Q72" s="19"/>
      <c r="R72" s="35"/>
      <c r="S72" s="6"/>
      <c r="T72" s="6"/>
      <c r="U72" s="6"/>
      <c r="V72" s="6"/>
      <c r="W72" s="6"/>
      <c r="X72" s="6"/>
      <c r="Y72" s="6"/>
      <c r="Z72" s="6"/>
    </row>
    <row r="73">
      <c r="A73" s="23"/>
      <c r="B73" s="19"/>
      <c r="C73" s="52"/>
      <c r="D73" s="53" t="s">
        <v>29</v>
      </c>
      <c r="E73" s="63">
        <f>8950</f>
        <v>8950</v>
      </c>
      <c r="F73" s="59"/>
      <c r="G73" s="56">
        <v>0.0</v>
      </c>
      <c r="H73" s="59"/>
      <c r="I73" s="63">
        <f>1000</f>
        <v>1000</v>
      </c>
      <c r="J73" s="59"/>
      <c r="K73" s="56">
        <v>0.0</v>
      </c>
      <c r="L73" s="59"/>
      <c r="M73" s="56">
        <v>0.0</v>
      </c>
      <c r="N73" s="59"/>
      <c r="O73" s="56">
        <f t="shared" si="3"/>
        <v>9950</v>
      </c>
      <c r="P73" s="66"/>
      <c r="Q73" s="19"/>
      <c r="R73" s="35"/>
      <c r="S73" s="6"/>
      <c r="T73" s="6"/>
      <c r="U73" s="6"/>
      <c r="V73" s="6"/>
      <c r="W73" s="6"/>
      <c r="X73" s="6"/>
      <c r="Y73" s="6"/>
      <c r="Z73" s="6"/>
    </row>
    <row r="74">
      <c r="A74" s="68"/>
      <c r="B74" s="19"/>
      <c r="C74" s="52"/>
      <c r="D74" s="53" t="s">
        <v>30</v>
      </c>
      <c r="E74" s="63">
        <f>2245</f>
        <v>2245</v>
      </c>
      <c r="F74" s="59"/>
      <c r="G74" s="63">
        <f>1180+9473</f>
        <v>10653</v>
      </c>
      <c r="H74" s="59"/>
      <c r="I74" s="63">
        <f>4800</f>
        <v>4800</v>
      </c>
      <c r="J74" s="59"/>
      <c r="K74" s="63">
        <f>3728</f>
        <v>3728</v>
      </c>
      <c r="L74" s="59"/>
      <c r="M74" s="56">
        <v>0.0</v>
      </c>
      <c r="N74" s="59"/>
      <c r="O74" s="56">
        <f t="shared" si="3"/>
        <v>21426</v>
      </c>
      <c r="P74" s="66"/>
      <c r="Q74" s="19"/>
      <c r="R74" s="35"/>
      <c r="S74" s="6"/>
      <c r="T74" s="6"/>
      <c r="U74" s="6"/>
      <c r="V74" s="6"/>
      <c r="W74" s="6"/>
      <c r="X74" s="6"/>
      <c r="Y74" s="6"/>
      <c r="Z74" s="6"/>
    </row>
    <row r="75">
      <c r="A75" s="23"/>
      <c r="B75" s="19"/>
      <c r="C75" s="52"/>
      <c r="D75" s="53" t="s">
        <v>31</v>
      </c>
      <c r="E75" s="73">
        <f>2600/2+12790/2+77570+8000</f>
        <v>93265</v>
      </c>
      <c r="F75" s="59"/>
      <c r="G75" s="63">
        <f>2600/2+1880/2+6440/2</f>
        <v>5460</v>
      </c>
      <c r="H75" s="59"/>
      <c r="I75" s="63">
        <f>46452</f>
        <v>46452</v>
      </c>
      <c r="J75" s="59"/>
      <c r="K75" s="91">
        <f>2340/2</f>
        <v>1170</v>
      </c>
      <c r="L75" s="59"/>
      <c r="M75" s="56">
        <f>3100/2+92120</f>
        <v>93670</v>
      </c>
      <c r="N75" s="59"/>
      <c r="O75" s="185">
        <f t="shared" si="3"/>
        <v>240017</v>
      </c>
      <c r="P75" s="66"/>
      <c r="Q75" s="19"/>
      <c r="R75" s="35"/>
      <c r="S75" s="6"/>
      <c r="T75" s="6"/>
      <c r="U75" s="6"/>
      <c r="V75" s="6"/>
      <c r="W75" s="6"/>
      <c r="X75" s="6"/>
      <c r="Y75" s="6"/>
      <c r="Z75" s="6"/>
    </row>
    <row r="76">
      <c r="A76" s="23"/>
      <c r="B76" s="19"/>
      <c r="C76" s="52"/>
      <c r="D76" s="53" t="s">
        <v>32</v>
      </c>
      <c r="E76" s="56">
        <v>0.0</v>
      </c>
      <c r="F76" s="59"/>
      <c r="G76" s="56">
        <v>0.0</v>
      </c>
      <c r="H76" s="59"/>
      <c r="I76" s="56">
        <v>0.0</v>
      </c>
      <c r="J76" s="59"/>
      <c r="K76" s="63">
        <v>0.0</v>
      </c>
      <c r="L76" s="59"/>
      <c r="M76" s="56">
        <v>0.0</v>
      </c>
      <c r="N76" s="59"/>
      <c r="O76" s="56">
        <f t="shared" si="3"/>
        <v>0</v>
      </c>
      <c r="P76" s="66"/>
      <c r="Q76" s="19"/>
      <c r="R76" s="35"/>
      <c r="S76" s="6"/>
      <c r="T76" s="6"/>
      <c r="U76" s="6"/>
      <c r="V76" s="6"/>
      <c r="W76" s="6"/>
      <c r="X76" s="6"/>
      <c r="Y76" s="6"/>
      <c r="Z76" s="6"/>
    </row>
    <row r="77">
      <c r="A77" s="23"/>
      <c r="B77" s="19"/>
      <c r="C77" s="52"/>
      <c r="D77" s="53" t="s">
        <v>33</v>
      </c>
      <c r="E77" s="63">
        <f>2698</f>
        <v>2698</v>
      </c>
      <c r="F77" s="59"/>
      <c r="G77" s="63">
        <f>2400</f>
        <v>2400</v>
      </c>
      <c r="H77" s="59"/>
      <c r="I77" s="63">
        <v>0.0</v>
      </c>
      <c r="J77" s="59"/>
      <c r="K77" s="63">
        <v>0.0</v>
      </c>
      <c r="L77" s="59"/>
      <c r="M77" s="63">
        <v>40000.0</v>
      </c>
      <c r="N77" s="59"/>
      <c r="O77" s="56">
        <f t="shared" si="3"/>
        <v>45098</v>
      </c>
      <c r="P77" s="66"/>
      <c r="Q77" s="19"/>
      <c r="R77" s="35"/>
      <c r="S77" s="6"/>
      <c r="T77" s="6"/>
      <c r="U77" s="6"/>
      <c r="V77" s="6"/>
      <c r="W77" s="6"/>
      <c r="X77" s="6"/>
      <c r="Y77" s="6"/>
      <c r="Z77" s="6"/>
    </row>
    <row r="78">
      <c r="A78" s="36"/>
      <c r="B78" s="38"/>
      <c r="C78" s="97"/>
      <c r="D78" s="99" t="s">
        <v>34</v>
      </c>
      <c r="E78" s="101">
        <f>SUM(E79:F82)</f>
        <v>947335</v>
      </c>
      <c r="F78" s="59"/>
      <c r="G78" s="101">
        <f>SUM(G79:G82)</f>
        <v>43795</v>
      </c>
      <c r="H78" s="59"/>
      <c r="I78" s="101">
        <f>SUM(I79:I82)</f>
        <v>0</v>
      </c>
      <c r="J78" s="59"/>
      <c r="K78" s="101">
        <f>SUM(K79:K82)</f>
        <v>0</v>
      </c>
      <c r="L78" s="59"/>
      <c r="M78" s="101">
        <f>SUM(M79:M82)</f>
        <v>0</v>
      </c>
      <c r="N78" s="59"/>
      <c r="O78" s="101">
        <f t="shared" si="3"/>
        <v>991130</v>
      </c>
      <c r="P78" s="97"/>
      <c r="Q78" s="38"/>
      <c r="R78" s="48"/>
      <c r="S78" s="6"/>
      <c r="T78" s="6"/>
      <c r="U78" s="6"/>
      <c r="V78" s="6"/>
      <c r="W78" s="6"/>
      <c r="X78" s="6"/>
      <c r="Y78" s="6"/>
      <c r="Z78" s="6"/>
    </row>
    <row r="79">
      <c r="A79" s="23"/>
      <c r="B79" s="19"/>
      <c r="C79" s="106"/>
      <c r="D79" s="108" t="s">
        <v>35</v>
      </c>
      <c r="E79" s="63">
        <v>947335.0</v>
      </c>
      <c r="F79" s="59"/>
      <c r="G79" s="63">
        <v>0.0</v>
      </c>
      <c r="H79" s="59"/>
      <c r="I79" s="56">
        <v>0.0</v>
      </c>
      <c r="J79" s="59"/>
      <c r="K79" s="56">
        <v>0.0</v>
      </c>
      <c r="L79" s="59"/>
      <c r="M79" s="56">
        <v>0.0</v>
      </c>
      <c r="N79" s="59"/>
      <c r="O79" s="56">
        <f t="shared" si="3"/>
        <v>947335</v>
      </c>
      <c r="P79" s="66"/>
      <c r="Q79" s="19"/>
      <c r="R79" s="35"/>
      <c r="S79" s="6"/>
      <c r="T79" s="6"/>
      <c r="U79" s="6"/>
      <c r="V79" s="6"/>
      <c r="W79" s="6"/>
      <c r="X79" s="6"/>
      <c r="Y79" s="6"/>
      <c r="Z79" s="6"/>
    </row>
    <row r="80">
      <c r="A80" s="23"/>
      <c r="B80" s="19"/>
      <c r="C80" s="106"/>
      <c r="D80" s="108" t="s">
        <v>36</v>
      </c>
      <c r="E80" s="56">
        <v>0.0</v>
      </c>
      <c r="F80" s="59"/>
      <c r="G80" s="56">
        <v>0.0</v>
      </c>
      <c r="H80" s="59"/>
      <c r="I80" s="56">
        <v>0.0</v>
      </c>
      <c r="J80" s="59"/>
      <c r="K80" s="56">
        <v>0.0</v>
      </c>
      <c r="L80" s="59"/>
      <c r="M80" s="56">
        <v>0.0</v>
      </c>
      <c r="N80" s="59"/>
      <c r="O80" s="56">
        <f t="shared" si="3"/>
        <v>0</v>
      </c>
      <c r="P80" s="66"/>
      <c r="Q80" s="19"/>
      <c r="R80" s="35"/>
      <c r="S80" s="6"/>
      <c r="T80" s="6"/>
      <c r="U80" s="6"/>
      <c r="V80" s="6"/>
      <c r="W80" s="6"/>
      <c r="X80" s="6"/>
      <c r="Y80" s="6"/>
      <c r="Z80" s="6"/>
    </row>
    <row r="81">
      <c r="A81" s="23"/>
      <c r="B81" s="19"/>
      <c r="C81" s="106"/>
      <c r="D81" s="108" t="s">
        <v>37</v>
      </c>
      <c r="E81" s="56">
        <v>0.0</v>
      </c>
      <c r="F81" s="59"/>
      <c r="G81" s="56">
        <v>0.0</v>
      </c>
      <c r="H81" s="59"/>
      <c r="I81" s="56">
        <v>0.0</v>
      </c>
      <c r="J81" s="59"/>
      <c r="K81" s="56">
        <v>0.0</v>
      </c>
      <c r="L81" s="59"/>
      <c r="M81" s="56">
        <v>0.0</v>
      </c>
      <c r="N81" s="59"/>
      <c r="O81" s="56">
        <f t="shared" si="3"/>
        <v>0</v>
      </c>
      <c r="P81" s="66"/>
      <c r="Q81" s="19"/>
      <c r="R81" s="35"/>
      <c r="S81" s="6"/>
      <c r="T81" s="6"/>
      <c r="U81" s="6"/>
      <c r="V81" s="6"/>
      <c r="W81" s="6"/>
      <c r="X81" s="6"/>
      <c r="Y81" s="6"/>
      <c r="Z81" s="6"/>
    </row>
    <row r="82">
      <c r="A82" s="23"/>
      <c r="B82" s="19"/>
      <c r="C82" s="117"/>
      <c r="D82" s="118" t="s">
        <v>33</v>
      </c>
      <c r="E82" s="119">
        <v>0.0</v>
      </c>
      <c r="F82" s="120"/>
      <c r="G82" s="121">
        <f>43795</f>
        <v>43795</v>
      </c>
      <c r="H82" s="120"/>
      <c r="I82" s="119">
        <v>0.0</v>
      </c>
      <c r="J82" s="120"/>
      <c r="K82" s="119">
        <v>0.0</v>
      </c>
      <c r="L82" s="120"/>
      <c r="M82" s="121">
        <v>0.0</v>
      </c>
      <c r="N82" s="120"/>
      <c r="O82" s="121">
        <f t="shared" si="3"/>
        <v>43795</v>
      </c>
      <c r="P82" s="122"/>
      <c r="Q82" s="19"/>
      <c r="R82" s="35"/>
      <c r="S82" s="6"/>
      <c r="T82" s="6"/>
      <c r="U82" s="6"/>
      <c r="V82" s="6"/>
      <c r="W82" s="6"/>
      <c r="X82" s="6"/>
      <c r="Y82" s="6"/>
      <c r="Z82" s="6"/>
    </row>
    <row r="83">
      <c r="A83" s="23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6"/>
      <c r="T83" s="6"/>
      <c r="U83" s="6"/>
      <c r="V83" s="6"/>
      <c r="W83" s="6"/>
      <c r="X83" s="6"/>
      <c r="Y83" s="6"/>
      <c r="Z83" s="6"/>
    </row>
    <row r="84">
      <c r="A84" s="12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6"/>
      <c r="P84" s="116"/>
      <c r="Q84" s="116"/>
      <c r="R84" s="19"/>
      <c r="S84" s="6"/>
      <c r="T84" s="6"/>
      <c r="U84" s="6"/>
      <c r="V84" s="6"/>
      <c r="W84" s="6"/>
      <c r="X84" s="6"/>
      <c r="Y84" s="6"/>
      <c r="Z84" s="6"/>
    </row>
    <row r="85">
      <c r="A85" s="1">
        <f>NOW()</f>
        <v>46234.09825</v>
      </c>
      <c r="G85" s="2"/>
      <c r="H85" s="2"/>
      <c r="I85" s="3">
        <f t="array" ref="I85">(INDIRECT("I" &amp; ROW() + 1)/INDIRECT("E" &amp; ROW() + 1))</f>
        <v>0.7177282133</v>
      </c>
      <c r="K85" s="2"/>
      <c r="L85" s="4">
        <f t="array" ref="L85">(1 - INDIRECT("I" &amp; ROW()))</f>
        <v>0.2822717867</v>
      </c>
      <c r="N85" s="2"/>
      <c r="O85" s="5"/>
      <c r="P85" s="5"/>
      <c r="Q85" s="5"/>
      <c r="R85" s="5"/>
      <c r="S85" s="6"/>
      <c r="T85" s="6"/>
      <c r="U85" s="6"/>
      <c r="V85" s="6"/>
      <c r="W85" s="6"/>
      <c r="X85" s="6"/>
      <c r="Y85" s="6"/>
      <c r="Z85" s="6"/>
    </row>
    <row r="86">
      <c r="A86" s="7"/>
      <c r="B86" s="7"/>
      <c r="C86" s="7"/>
      <c r="D86" s="7"/>
      <c r="E86" s="8">
        <f>O106</f>
        <v>1141903</v>
      </c>
      <c r="G86" s="2"/>
      <c r="I86" s="9">
        <f>O91</f>
        <v>819576</v>
      </c>
      <c r="K86" s="2"/>
      <c r="L86" s="11">
        <f>E86-I86</f>
        <v>322327</v>
      </c>
      <c r="N86" s="2"/>
      <c r="P86" s="5"/>
      <c r="Q86" s="5"/>
      <c r="R86" s="5"/>
      <c r="S86" s="6"/>
      <c r="T86" s="6"/>
      <c r="U86" s="6"/>
      <c r="V86" s="6"/>
      <c r="W86" s="6"/>
      <c r="X86" s="6"/>
      <c r="Y86" s="6"/>
      <c r="Z86" s="6"/>
    </row>
    <row r="87">
      <c r="A87" s="14" t="s">
        <v>0</v>
      </c>
      <c r="B87" s="15"/>
      <c r="C87" s="15"/>
      <c r="D87" s="16" t="s">
        <v>1</v>
      </c>
      <c r="E87" s="15"/>
      <c r="F87" s="15"/>
      <c r="G87" s="15"/>
      <c r="H87" s="15"/>
      <c r="I87" s="16" t="s">
        <v>2</v>
      </c>
      <c r="J87" s="15"/>
      <c r="K87" s="15"/>
      <c r="L87" s="16" t="s">
        <v>3</v>
      </c>
      <c r="M87" s="15"/>
      <c r="N87" s="17"/>
      <c r="O87" s="15"/>
      <c r="P87" s="18"/>
      <c r="Q87" s="18"/>
      <c r="R87" s="18"/>
      <c r="S87" s="6"/>
      <c r="T87" s="6"/>
      <c r="U87" s="6"/>
      <c r="V87" s="6"/>
      <c r="W87" s="6"/>
      <c r="X87" s="6"/>
      <c r="Y87" s="6"/>
      <c r="Z87" s="6"/>
    </row>
    <row r="88">
      <c r="A88" s="19"/>
      <c r="D88" s="20"/>
      <c r="E88" s="20"/>
      <c r="F88" s="20" t="s">
        <v>4</v>
      </c>
      <c r="G88" s="20"/>
      <c r="H88" s="20"/>
      <c r="I88" s="20"/>
      <c r="J88" s="20"/>
      <c r="K88" s="20"/>
      <c r="L88" s="20"/>
      <c r="M88" s="20"/>
      <c r="N88" s="20"/>
      <c r="O88" s="19"/>
      <c r="P88" s="19"/>
      <c r="Q88" s="19"/>
      <c r="R88" s="19"/>
      <c r="S88" s="6"/>
      <c r="T88" s="6"/>
      <c r="U88" s="6"/>
      <c r="V88" s="6"/>
      <c r="W88" s="6"/>
      <c r="X88" s="6"/>
      <c r="Y88" s="6"/>
      <c r="Z88" s="6"/>
    </row>
    <row r="89">
      <c r="A89" s="23"/>
      <c r="B89" s="19"/>
      <c r="C89" s="143" t="s">
        <v>52</v>
      </c>
      <c r="Q89" s="19"/>
      <c r="R89" s="19"/>
      <c r="S89" s="6"/>
      <c r="T89" s="6"/>
      <c r="U89" s="6"/>
      <c r="V89" s="6"/>
      <c r="W89" s="6"/>
      <c r="X89" s="6"/>
      <c r="Y89" s="6"/>
      <c r="Z89" s="6"/>
    </row>
    <row r="90">
      <c r="A90" s="23"/>
      <c r="B90" s="28"/>
      <c r="C90" s="29"/>
      <c r="D90" s="30" t="s">
        <v>6</v>
      </c>
      <c r="E90" s="31" t="s">
        <v>7</v>
      </c>
      <c r="G90" s="31" t="s">
        <v>8</v>
      </c>
      <c r="I90" s="31" t="s">
        <v>9</v>
      </c>
      <c r="K90" s="31" t="s">
        <v>10</v>
      </c>
      <c r="M90" s="31" t="s">
        <v>11</v>
      </c>
      <c r="O90" s="33" t="s">
        <v>12</v>
      </c>
      <c r="P90" s="29"/>
      <c r="Q90" s="19"/>
      <c r="R90" s="35"/>
      <c r="S90" s="6"/>
      <c r="T90" s="6"/>
      <c r="U90" s="6"/>
      <c r="V90" s="6"/>
      <c r="W90" s="6"/>
      <c r="X90" s="6"/>
      <c r="Y90" s="6"/>
      <c r="Z90" s="6"/>
    </row>
    <row r="91">
      <c r="A91" s="36"/>
      <c r="B91" s="38"/>
      <c r="C91" s="39"/>
      <c r="D91" s="41" t="s">
        <v>13</v>
      </c>
      <c r="E91" s="43">
        <f>SUM(E92:F105)</f>
        <v>65001</v>
      </c>
      <c r="F91" s="15"/>
      <c r="G91" s="43">
        <f>SUM(G92:H105)</f>
        <v>215202</v>
      </c>
      <c r="H91" s="15"/>
      <c r="I91" s="43">
        <f>SUM(I92:J105)</f>
        <v>271354</v>
      </c>
      <c r="J91" s="15"/>
      <c r="K91" s="43">
        <f>SUM(K92:L105)</f>
        <v>201102</v>
      </c>
      <c r="L91" s="15"/>
      <c r="M91" s="43">
        <f>SUM(M92:M105)</f>
        <v>66917</v>
      </c>
      <c r="N91" s="15"/>
      <c r="O91" s="43">
        <f t="shared" ref="O91:O110" si="4">SUM(E91:N91)</f>
        <v>819576</v>
      </c>
      <c r="P91" s="39"/>
      <c r="Q91" s="38"/>
      <c r="R91" s="48"/>
      <c r="S91" s="6"/>
      <c r="T91" s="6"/>
      <c r="U91" s="6"/>
      <c r="V91" s="6"/>
      <c r="W91" s="6"/>
      <c r="X91" s="6"/>
      <c r="Y91" s="6"/>
      <c r="Z91" s="6"/>
    </row>
    <row r="92">
      <c r="A92" s="23"/>
      <c r="B92" s="19"/>
      <c r="C92" s="52"/>
      <c r="D92" s="53" t="s">
        <v>20</v>
      </c>
      <c r="E92" s="56">
        <v>0.0</v>
      </c>
      <c r="F92" s="59"/>
      <c r="G92" s="61">
        <v>0.0</v>
      </c>
      <c r="H92" s="59"/>
      <c r="I92" s="63">
        <f>251938-85969</f>
        <v>165969</v>
      </c>
      <c r="J92" s="59"/>
      <c r="K92" s="56">
        <v>0.0</v>
      </c>
      <c r="L92" s="59"/>
      <c r="M92" s="56">
        <v>0.0</v>
      </c>
      <c r="N92" s="59"/>
      <c r="O92" s="65">
        <f t="shared" si="4"/>
        <v>165969</v>
      </c>
      <c r="P92" s="66"/>
      <c r="Q92" s="19"/>
      <c r="R92" s="35"/>
      <c r="S92" s="6"/>
      <c r="T92" s="6"/>
      <c r="U92" s="6"/>
      <c r="V92" s="6"/>
      <c r="W92" s="6"/>
      <c r="X92" s="6"/>
      <c r="Y92" s="6"/>
      <c r="Z92" s="6"/>
    </row>
    <row r="93">
      <c r="A93" s="68"/>
      <c r="B93" s="19"/>
      <c r="C93" s="52"/>
      <c r="D93" s="53" t="s">
        <v>21</v>
      </c>
      <c r="E93" s="63">
        <f>237+1729+2602+3795+3191+1824+700</f>
        <v>14078</v>
      </c>
      <c r="F93" s="59"/>
      <c r="G93" s="73">
        <f>769+1304+355+1675+2265+1605+2510+2291</f>
        <v>12774</v>
      </c>
      <c r="H93" s="59"/>
      <c r="I93" s="73">
        <f>4336+600+355+2676+8998+2307+948</f>
        <v>20220</v>
      </c>
      <c r="J93" s="59"/>
      <c r="K93" s="73">
        <f>4267+674+3712+1757+712+3447+4000+40+499+847</f>
        <v>19955</v>
      </c>
      <c r="L93" s="59"/>
      <c r="M93" s="63">
        <f>1678+2509+456+709</f>
        <v>5352</v>
      </c>
      <c r="N93" s="59"/>
      <c r="O93" s="84">
        <f t="shared" si="4"/>
        <v>72379</v>
      </c>
      <c r="P93" s="66"/>
      <c r="Q93" s="19"/>
      <c r="R93" s="35"/>
      <c r="S93" s="6"/>
      <c r="T93" s="6"/>
      <c r="U93" s="6"/>
      <c r="V93" s="6"/>
      <c r="W93" s="6"/>
      <c r="X93" s="6"/>
      <c r="Y93" s="6"/>
      <c r="Z93" s="6"/>
    </row>
    <row r="94">
      <c r="A94" s="23"/>
      <c r="B94" s="19"/>
      <c r="C94" s="52"/>
      <c r="D94" s="85" t="s">
        <v>22</v>
      </c>
      <c r="E94" s="63">
        <v>3220.0</v>
      </c>
      <c r="F94" s="59"/>
      <c r="G94" s="63">
        <f>1865+1219</f>
        <v>3084</v>
      </c>
      <c r="H94" s="59"/>
      <c r="I94" s="63">
        <v>0.0</v>
      </c>
      <c r="J94" s="59"/>
      <c r="K94" s="63">
        <f>6730+879+3600+2999</f>
        <v>14208</v>
      </c>
      <c r="L94" s="59"/>
      <c r="M94" s="63">
        <f>2540</f>
        <v>2540</v>
      </c>
      <c r="N94" s="59"/>
      <c r="O94" s="56">
        <f t="shared" si="4"/>
        <v>23052</v>
      </c>
      <c r="P94" s="66"/>
      <c r="Q94" s="19"/>
      <c r="R94" s="35"/>
      <c r="S94" s="6"/>
      <c r="T94" s="6"/>
      <c r="U94" s="6"/>
      <c r="V94" s="6"/>
      <c r="W94" s="6"/>
      <c r="X94" s="6"/>
      <c r="Y94" s="6"/>
      <c r="Z94" s="6"/>
    </row>
    <row r="95">
      <c r="A95" s="23"/>
      <c r="B95" s="19"/>
      <c r="C95" s="52"/>
      <c r="D95" s="85" t="s">
        <v>23</v>
      </c>
      <c r="E95" s="63">
        <f>3500+4250</f>
        <v>7750</v>
      </c>
      <c r="F95" s="59"/>
      <c r="G95" s="63">
        <f>2600+3130+2600+4727+7700</f>
        <v>20757</v>
      </c>
      <c r="H95" s="59"/>
      <c r="I95" s="63">
        <f>2600+3500+1050+3800</f>
        <v>10950</v>
      </c>
      <c r="J95" s="59"/>
      <c r="K95" s="63">
        <f>3226+2600+700</f>
        <v>6526</v>
      </c>
      <c r="L95" s="59"/>
      <c r="M95" s="63">
        <f>5070</f>
        <v>5070</v>
      </c>
      <c r="N95" s="59"/>
      <c r="O95" s="84">
        <f t="shared" si="4"/>
        <v>51053</v>
      </c>
      <c r="P95" s="66"/>
      <c r="Q95" s="19"/>
      <c r="R95" s="35"/>
      <c r="S95" s="6"/>
      <c r="T95" s="6"/>
      <c r="U95" s="6"/>
      <c r="V95" s="6"/>
      <c r="W95" s="6"/>
      <c r="X95" s="6"/>
      <c r="Y95" s="6"/>
      <c r="Z95" s="6"/>
    </row>
    <row r="96">
      <c r="A96" s="23"/>
      <c r="B96" s="19"/>
      <c r="C96" s="52"/>
      <c r="D96" s="53" t="s">
        <v>24</v>
      </c>
      <c r="E96" s="63">
        <f>2400/2</f>
        <v>1200</v>
      </c>
      <c r="F96" s="59"/>
      <c r="G96" s="63">
        <f>2490/2+1150+4270+2600/2+2600/2+1250</f>
        <v>10515</v>
      </c>
      <c r="H96" s="59"/>
      <c r="I96" s="63">
        <f>2740/2+2200/2+950+2600/2+700+1250</f>
        <v>6670</v>
      </c>
      <c r="J96" s="59"/>
      <c r="K96" s="63">
        <f>4470+1250+1300+1250</f>
        <v>8270</v>
      </c>
      <c r="L96" s="59"/>
      <c r="M96" s="63">
        <f>1250</f>
        <v>1250</v>
      </c>
      <c r="N96" s="59"/>
      <c r="O96" s="56">
        <f t="shared" si="4"/>
        <v>27905</v>
      </c>
      <c r="P96" s="66"/>
      <c r="Q96" s="19"/>
      <c r="R96" s="35"/>
      <c r="S96" s="6"/>
      <c r="T96" s="6"/>
      <c r="U96" s="6"/>
      <c r="V96" s="6"/>
      <c r="W96" s="6"/>
      <c r="X96" s="6"/>
      <c r="Y96" s="6"/>
      <c r="Z96" s="6"/>
    </row>
    <row r="97">
      <c r="A97" s="23"/>
      <c r="B97" s="19"/>
      <c r="C97" s="52"/>
      <c r="D97" s="53" t="s">
        <v>25</v>
      </c>
      <c r="E97" s="63">
        <v>0.0</v>
      </c>
      <c r="F97" s="59"/>
      <c r="G97" s="63">
        <v>0.0</v>
      </c>
      <c r="H97" s="59"/>
      <c r="I97" s="56">
        <v>0.0</v>
      </c>
      <c r="J97" s="59"/>
      <c r="K97" s="63">
        <v>0.0</v>
      </c>
      <c r="L97" s="59"/>
      <c r="M97" s="56">
        <f>5430</f>
        <v>5430</v>
      </c>
      <c r="N97" s="59"/>
      <c r="O97" s="56">
        <f t="shared" si="4"/>
        <v>5430</v>
      </c>
      <c r="P97" s="66"/>
      <c r="Q97" s="19"/>
      <c r="R97" s="35"/>
      <c r="S97" s="6"/>
      <c r="T97" s="6"/>
      <c r="U97" s="6"/>
      <c r="V97" s="6"/>
      <c r="W97" s="6"/>
      <c r="X97" s="6"/>
      <c r="Y97" s="6"/>
      <c r="Z97" s="6"/>
    </row>
    <row r="98">
      <c r="A98" s="23"/>
      <c r="B98" s="19"/>
      <c r="C98" s="52"/>
      <c r="D98" s="53" t="s">
        <v>26</v>
      </c>
      <c r="E98" s="63">
        <v>0.0</v>
      </c>
      <c r="F98" s="59"/>
      <c r="G98" s="63">
        <f>20180</f>
        <v>20180</v>
      </c>
      <c r="H98" s="59"/>
      <c r="I98" s="63">
        <v>0.0</v>
      </c>
      <c r="J98" s="59"/>
      <c r="K98" s="63">
        <f>24900+39116</f>
        <v>64016</v>
      </c>
      <c r="L98" s="59"/>
      <c r="M98" s="63">
        <v>0.0</v>
      </c>
      <c r="N98" s="59"/>
      <c r="O98" s="56">
        <f t="shared" si="4"/>
        <v>84196</v>
      </c>
      <c r="P98" s="66"/>
      <c r="Q98" s="19"/>
      <c r="R98" s="35"/>
      <c r="S98" s="6"/>
      <c r="T98" s="6"/>
      <c r="U98" s="6"/>
      <c r="V98" s="6"/>
      <c r="W98" s="6"/>
      <c r="X98" s="6"/>
      <c r="Y98" s="6"/>
      <c r="Z98" s="6"/>
    </row>
    <row r="99">
      <c r="A99" s="23"/>
      <c r="B99" s="19"/>
      <c r="C99" s="52"/>
      <c r="D99" s="53" t="s">
        <v>27</v>
      </c>
      <c r="E99" s="73">
        <f>7785</f>
        <v>7785</v>
      </c>
      <c r="F99" s="59"/>
      <c r="G99" s="63">
        <v>0.0</v>
      </c>
      <c r="H99" s="59"/>
      <c r="I99" s="63">
        <v>0.0</v>
      </c>
      <c r="J99" s="59"/>
      <c r="K99" s="199">
        <f>11075</f>
        <v>11075</v>
      </c>
      <c r="L99" s="59"/>
      <c r="M99" s="56">
        <v>0.0</v>
      </c>
      <c r="N99" s="59"/>
      <c r="O99" s="84">
        <f t="shared" si="4"/>
        <v>18860</v>
      </c>
      <c r="P99" s="66"/>
      <c r="Q99" s="19"/>
      <c r="R99" s="35"/>
      <c r="S99" s="6"/>
      <c r="T99" s="6"/>
      <c r="U99" s="6"/>
      <c r="V99" s="6"/>
      <c r="W99" s="6"/>
      <c r="X99" s="6"/>
      <c r="Y99" s="6"/>
      <c r="Z99" s="6"/>
    </row>
    <row r="100">
      <c r="A100" s="23"/>
      <c r="B100" s="19"/>
      <c r="C100" s="52"/>
      <c r="D100" s="53" t="s">
        <v>28</v>
      </c>
      <c r="E100" s="73">
        <v>0.0</v>
      </c>
      <c r="F100" s="59"/>
      <c r="G100" s="56">
        <f>51236</f>
        <v>51236</v>
      </c>
      <c r="H100" s="59"/>
      <c r="I100" s="73">
        <v>0.0</v>
      </c>
      <c r="J100" s="59"/>
      <c r="K100" s="63">
        <f>45945+(9590+1990+3600+500+5050+10377)</f>
        <v>77052</v>
      </c>
      <c r="L100" s="59"/>
      <c r="M100" s="56">
        <v>0.0</v>
      </c>
      <c r="N100" s="59"/>
      <c r="O100" s="65">
        <f t="shared" si="4"/>
        <v>128288</v>
      </c>
      <c r="P100" s="66"/>
      <c r="Q100" s="19"/>
      <c r="R100" s="35"/>
      <c r="S100" s="6"/>
      <c r="T100" s="6"/>
      <c r="U100" s="6"/>
      <c r="V100" s="6"/>
      <c r="W100" s="6"/>
      <c r="X100" s="6"/>
      <c r="Y100" s="6"/>
      <c r="Z100" s="6"/>
    </row>
    <row r="101">
      <c r="A101" s="23"/>
      <c r="B101" s="19"/>
      <c r="C101" s="52"/>
      <c r="D101" s="53" t="s">
        <v>29</v>
      </c>
      <c r="E101" s="63">
        <f>8950</f>
        <v>8950</v>
      </c>
      <c r="F101" s="59"/>
      <c r="G101" s="56">
        <v>0.0</v>
      </c>
      <c r="H101" s="59"/>
      <c r="I101" s="63">
        <v>0.0</v>
      </c>
      <c r="J101" s="59"/>
      <c r="K101" s="56">
        <v>0.0</v>
      </c>
      <c r="L101" s="59"/>
      <c r="M101" s="56">
        <v>0.0</v>
      </c>
      <c r="N101" s="59"/>
      <c r="O101" s="56">
        <f t="shared" si="4"/>
        <v>8950</v>
      </c>
      <c r="P101" s="66"/>
      <c r="Q101" s="19"/>
      <c r="R101" s="35"/>
      <c r="S101" s="6"/>
      <c r="T101" s="6"/>
      <c r="U101" s="6"/>
      <c r="V101" s="6"/>
      <c r="W101" s="6"/>
      <c r="X101" s="6"/>
      <c r="Y101" s="6"/>
      <c r="Z101" s="6"/>
    </row>
    <row r="102">
      <c r="A102" s="68"/>
      <c r="B102" s="19"/>
      <c r="C102" s="52"/>
      <c r="D102" s="53" t="s">
        <v>30</v>
      </c>
      <c r="E102" s="63">
        <f>2245+1138</f>
        <v>3383</v>
      </c>
      <c r="F102" s="59"/>
      <c r="G102" s="63">
        <f>9135+4028</f>
        <v>13163</v>
      </c>
      <c r="H102" s="59"/>
      <c r="I102" s="63">
        <f>4800</f>
        <v>4800</v>
      </c>
      <c r="J102" s="59"/>
      <c r="K102" s="63">
        <v>0.0</v>
      </c>
      <c r="L102" s="59"/>
      <c r="M102" s="56">
        <v>0.0</v>
      </c>
      <c r="N102" s="59"/>
      <c r="O102" s="56">
        <f t="shared" si="4"/>
        <v>21346</v>
      </c>
      <c r="P102" s="66"/>
      <c r="Q102" s="19"/>
      <c r="R102" s="35"/>
      <c r="S102" s="6"/>
      <c r="T102" s="6"/>
      <c r="U102" s="6"/>
      <c r="V102" s="6"/>
      <c r="W102" s="6"/>
      <c r="X102" s="6"/>
      <c r="Y102" s="6"/>
      <c r="Z102" s="6"/>
    </row>
    <row r="103">
      <c r="A103" s="23"/>
      <c r="B103" s="19"/>
      <c r="C103" s="52"/>
      <c r="D103" s="53" t="s">
        <v>31</v>
      </c>
      <c r="E103" s="73">
        <f>15335+2400/2</f>
        <v>16535</v>
      </c>
      <c r="F103" s="59"/>
      <c r="G103" s="63">
        <f>2490/2+74538+2600/2+2600/2</f>
        <v>78383</v>
      </c>
      <c r="H103" s="59"/>
      <c r="I103" s="63">
        <f>2740/2+2200/2+57275</f>
        <v>59745</v>
      </c>
      <c r="J103" s="59"/>
      <c r="K103" s="91">
        <v>0.0</v>
      </c>
      <c r="L103" s="59"/>
      <c r="M103" s="63">
        <f>43095+(5430-1250)</f>
        <v>47275</v>
      </c>
      <c r="N103" s="59"/>
      <c r="O103" s="185">
        <f t="shared" si="4"/>
        <v>201938</v>
      </c>
      <c r="P103" s="66"/>
      <c r="Q103" s="19"/>
      <c r="R103" s="35"/>
      <c r="S103" s="6"/>
      <c r="T103" s="6"/>
      <c r="U103" s="6"/>
      <c r="V103" s="6"/>
      <c r="W103" s="6"/>
      <c r="X103" s="6"/>
      <c r="Y103" s="6"/>
      <c r="Z103" s="6"/>
    </row>
    <row r="104">
      <c r="A104" s="23"/>
      <c r="B104" s="19"/>
      <c r="C104" s="52"/>
      <c r="D104" s="53" t="s">
        <v>32</v>
      </c>
      <c r="E104" s="56">
        <v>0.0</v>
      </c>
      <c r="F104" s="59"/>
      <c r="G104" s="63">
        <v>0.0</v>
      </c>
      <c r="H104" s="59"/>
      <c r="I104" s="56">
        <v>0.0</v>
      </c>
      <c r="J104" s="59"/>
      <c r="K104" s="63">
        <v>0.0</v>
      </c>
      <c r="L104" s="59"/>
      <c r="M104" s="56">
        <v>0.0</v>
      </c>
      <c r="N104" s="59"/>
      <c r="O104" s="56">
        <f t="shared" si="4"/>
        <v>0</v>
      </c>
      <c r="P104" s="66"/>
      <c r="Q104" s="19"/>
      <c r="R104" s="35"/>
      <c r="S104" s="6"/>
      <c r="T104" s="6"/>
      <c r="U104" s="6"/>
      <c r="V104" s="6"/>
      <c r="W104" s="6"/>
      <c r="X104" s="6"/>
      <c r="Y104" s="6"/>
      <c r="Z104" s="6"/>
    </row>
    <row r="105">
      <c r="A105" s="23"/>
      <c r="B105" s="19"/>
      <c r="C105" s="52"/>
      <c r="D105" s="53" t="s">
        <v>33</v>
      </c>
      <c r="E105" s="63">
        <v>2100.0</v>
      </c>
      <c r="F105" s="59"/>
      <c r="G105" s="63">
        <f>5110</f>
        <v>5110</v>
      </c>
      <c r="H105" s="59"/>
      <c r="I105" s="63">
        <f>1700+2600/2</f>
        <v>3000</v>
      </c>
      <c r="J105" s="59"/>
      <c r="K105" s="63">
        <v>0.0</v>
      </c>
      <c r="L105" s="59"/>
      <c r="M105" s="63">
        <v>0.0</v>
      </c>
      <c r="N105" s="59"/>
      <c r="O105" s="56">
        <f t="shared" si="4"/>
        <v>10210</v>
      </c>
      <c r="P105" s="66"/>
      <c r="Q105" s="19"/>
      <c r="R105" s="35"/>
      <c r="S105" s="6"/>
      <c r="T105" s="6"/>
      <c r="U105" s="6"/>
      <c r="V105" s="6"/>
      <c r="W105" s="6"/>
      <c r="X105" s="6"/>
      <c r="Y105" s="6"/>
      <c r="Z105" s="6"/>
    </row>
    <row r="106">
      <c r="A106" s="36"/>
      <c r="B106" s="38"/>
      <c r="C106" s="97"/>
      <c r="D106" s="99" t="s">
        <v>34</v>
      </c>
      <c r="E106" s="101">
        <f>SUM(E107:F110)</f>
        <v>1056795</v>
      </c>
      <c r="F106" s="59"/>
      <c r="G106" s="101">
        <f>SUM(G107:G110)</f>
        <v>83000</v>
      </c>
      <c r="H106" s="59"/>
      <c r="I106" s="101">
        <f>SUM(I107:I110)</f>
        <v>2108</v>
      </c>
      <c r="J106" s="59"/>
      <c r="K106" s="101">
        <f>SUM(K107:K110)</f>
        <v>0</v>
      </c>
      <c r="L106" s="59"/>
      <c r="M106" s="101">
        <f>SUM(M107:M110)</f>
        <v>0</v>
      </c>
      <c r="N106" s="59"/>
      <c r="O106" s="101">
        <f t="shared" si="4"/>
        <v>1141903</v>
      </c>
      <c r="P106" s="97"/>
      <c r="Q106" s="38"/>
      <c r="R106" s="48"/>
      <c r="S106" s="6"/>
      <c r="T106" s="6"/>
      <c r="U106" s="6"/>
      <c r="V106" s="6"/>
      <c r="W106" s="6"/>
      <c r="X106" s="6"/>
      <c r="Y106" s="6"/>
      <c r="Z106" s="6"/>
    </row>
    <row r="107">
      <c r="A107" s="23"/>
      <c r="B107" s="19"/>
      <c r="C107" s="106"/>
      <c r="D107" s="108" t="s">
        <v>35</v>
      </c>
      <c r="E107" s="63">
        <v>1013000.0</v>
      </c>
      <c r="F107" s="59"/>
      <c r="G107" s="63">
        <v>0.0</v>
      </c>
      <c r="H107" s="59"/>
      <c r="I107" s="56">
        <v>0.0</v>
      </c>
      <c r="J107" s="59"/>
      <c r="K107" s="56">
        <v>0.0</v>
      </c>
      <c r="L107" s="59"/>
      <c r="M107" s="56">
        <v>0.0</v>
      </c>
      <c r="N107" s="59"/>
      <c r="O107" s="56">
        <f t="shared" si="4"/>
        <v>1013000</v>
      </c>
      <c r="P107" s="66"/>
      <c r="Q107" s="19"/>
      <c r="R107" s="35"/>
      <c r="S107" s="6"/>
      <c r="T107" s="6"/>
      <c r="U107" s="6"/>
      <c r="V107" s="6"/>
      <c r="W107" s="6"/>
      <c r="X107" s="6"/>
      <c r="Y107" s="6"/>
      <c r="Z107" s="6"/>
    </row>
    <row r="108">
      <c r="A108" s="23"/>
      <c r="B108" s="19"/>
      <c r="C108" s="106"/>
      <c r="D108" s="108" t="s">
        <v>36</v>
      </c>
      <c r="E108" s="56">
        <v>0.0</v>
      </c>
      <c r="F108" s="59"/>
      <c r="G108" s="56">
        <v>0.0</v>
      </c>
      <c r="H108" s="59"/>
      <c r="I108" s="56">
        <v>0.0</v>
      </c>
      <c r="J108" s="59"/>
      <c r="K108" s="56">
        <v>0.0</v>
      </c>
      <c r="L108" s="59"/>
      <c r="M108" s="56">
        <v>0.0</v>
      </c>
      <c r="N108" s="59"/>
      <c r="O108" s="56">
        <f t="shared" si="4"/>
        <v>0</v>
      </c>
      <c r="P108" s="66"/>
      <c r="Q108" s="19"/>
      <c r="R108" s="35"/>
      <c r="S108" s="6"/>
      <c r="T108" s="6"/>
      <c r="U108" s="6"/>
      <c r="V108" s="6"/>
      <c r="W108" s="6"/>
      <c r="X108" s="6"/>
      <c r="Y108" s="6"/>
      <c r="Z108" s="6"/>
    </row>
    <row r="109">
      <c r="A109" s="23"/>
      <c r="B109" s="19"/>
      <c r="C109" s="106"/>
      <c r="D109" s="108" t="s">
        <v>37</v>
      </c>
      <c r="E109" s="56">
        <v>0.0</v>
      </c>
      <c r="F109" s="59"/>
      <c r="G109" s="56">
        <v>0.0</v>
      </c>
      <c r="H109" s="59"/>
      <c r="I109" s="56">
        <v>0.0</v>
      </c>
      <c r="J109" s="59"/>
      <c r="K109" s="56">
        <v>0.0</v>
      </c>
      <c r="L109" s="59"/>
      <c r="M109" s="56">
        <v>0.0</v>
      </c>
      <c r="N109" s="59"/>
      <c r="O109" s="56">
        <f t="shared" si="4"/>
        <v>0</v>
      </c>
      <c r="P109" s="66"/>
      <c r="Q109" s="19"/>
      <c r="R109" s="35"/>
      <c r="S109" s="6"/>
      <c r="T109" s="6"/>
      <c r="U109" s="6"/>
      <c r="V109" s="6"/>
      <c r="W109" s="6"/>
      <c r="X109" s="6"/>
      <c r="Y109" s="6"/>
      <c r="Z109" s="6"/>
    </row>
    <row r="110">
      <c r="A110" s="23"/>
      <c r="B110" s="19"/>
      <c r="C110" s="117"/>
      <c r="D110" s="118" t="s">
        <v>33</v>
      </c>
      <c r="E110" s="119">
        <v>43795.0</v>
      </c>
      <c r="F110" s="120"/>
      <c r="G110" s="119">
        <f>85000-2000</f>
        <v>83000</v>
      </c>
      <c r="H110" s="120"/>
      <c r="I110" s="119">
        <f>2108</f>
        <v>2108</v>
      </c>
      <c r="J110" s="120"/>
      <c r="K110" s="119">
        <v>0.0</v>
      </c>
      <c r="L110" s="120"/>
      <c r="M110" s="121">
        <v>0.0</v>
      </c>
      <c r="N110" s="120"/>
      <c r="O110" s="121">
        <f t="shared" si="4"/>
        <v>128903</v>
      </c>
      <c r="P110" s="122"/>
      <c r="Q110" s="19"/>
      <c r="R110" s="35"/>
      <c r="S110" s="6"/>
      <c r="T110" s="6"/>
      <c r="U110" s="6"/>
      <c r="V110" s="6"/>
      <c r="W110" s="6"/>
      <c r="X110" s="6"/>
      <c r="Y110" s="6"/>
      <c r="Z110" s="6"/>
    </row>
    <row r="111">
      <c r="A111" s="23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6"/>
      <c r="T111" s="6"/>
      <c r="U111" s="6"/>
      <c r="V111" s="6"/>
      <c r="W111" s="6"/>
      <c r="X111" s="6"/>
      <c r="Y111" s="6"/>
      <c r="Z111" s="6"/>
    </row>
    <row r="112">
      <c r="A112" s="12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6"/>
      <c r="P112" s="116"/>
      <c r="Q112" s="116"/>
      <c r="R112" s="19"/>
      <c r="S112" s="6"/>
      <c r="T112" s="6"/>
      <c r="U112" s="6"/>
      <c r="V112" s="6"/>
      <c r="W112" s="6"/>
      <c r="X112" s="6"/>
      <c r="Y112" s="6"/>
      <c r="Z112" s="6"/>
    </row>
    <row r="113">
      <c r="A113" s="1">
        <f>NOW()</f>
        <v>46234.09825</v>
      </c>
      <c r="G113" s="2"/>
      <c r="H113" s="2"/>
      <c r="I113" s="3">
        <f t="array" ref="I113">(INDIRECT("I" &amp; ROW() + 1)/INDIRECT("E" &amp; ROW() + 1))</f>
        <v>0.7621989128</v>
      </c>
      <c r="K113" s="2"/>
      <c r="L113" s="4">
        <f t="array" ref="L113">(1 - INDIRECT("I" &amp; ROW()))</f>
        <v>0.2378010872</v>
      </c>
      <c r="N113" s="2"/>
      <c r="O113" s="5"/>
      <c r="P113" s="5"/>
      <c r="Q113" s="5"/>
      <c r="R113" s="5"/>
      <c r="S113" s="6"/>
      <c r="T113" s="6"/>
      <c r="U113" s="6"/>
      <c r="V113" s="6"/>
      <c r="W113" s="6"/>
      <c r="X113" s="6"/>
      <c r="Y113" s="6"/>
      <c r="Z113" s="6"/>
    </row>
    <row r="114">
      <c r="A114" s="7"/>
      <c r="B114" s="7"/>
      <c r="C114" s="7"/>
      <c r="D114" s="7"/>
      <c r="E114" s="8">
        <f>O134</f>
        <v>1056795</v>
      </c>
      <c r="G114" s="2"/>
      <c r="I114" s="9">
        <f>O119</f>
        <v>805488</v>
      </c>
      <c r="K114" s="2"/>
      <c r="L114" s="11">
        <f>E114-I114</f>
        <v>251307</v>
      </c>
      <c r="N114" s="2"/>
      <c r="P114" s="5"/>
      <c r="Q114" s="5"/>
      <c r="R114" s="5"/>
      <c r="S114" s="6"/>
      <c r="T114" s="6"/>
      <c r="U114" s="6"/>
      <c r="V114" s="6"/>
      <c r="W114" s="6"/>
      <c r="X114" s="6"/>
      <c r="Y114" s="6"/>
      <c r="Z114" s="6"/>
    </row>
    <row r="115">
      <c r="A115" s="14" t="s">
        <v>0</v>
      </c>
      <c r="B115" s="15"/>
      <c r="C115" s="15"/>
      <c r="D115" s="16" t="s">
        <v>1</v>
      </c>
      <c r="E115" s="15"/>
      <c r="F115" s="15"/>
      <c r="G115" s="15"/>
      <c r="H115" s="15"/>
      <c r="I115" s="16" t="s">
        <v>2</v>
      </c>
      <c r="J115" s="15"/>
      <c r="K115" s="15"/>
      <c r="L115" s="16" t="s">
        <v>3</v>
      </c>
      <c r="M115" s="15"/>
      <c r="N115" s="17"/>
      <c r="O115" s="15"/>
      <c r="P115" s="18"/>
      <c r="Q115" s="18"/>
      <c r="R115" s="18"/>
      <c r="S115" s="6"/>
      <c r="T115" s="6"/>
      <c r="U115" s="6"/>
      <c r="V115" s="6"/>
      <c r="W115" s="6"/>
      <c r="X115" s="6"/>
      <c r="Y115" s="6"/>
      <c r="Z115" s="6"/>
    </row>
    <row r="116">
      <c r="A116" s="19"/>
      <c r="D116" s="20"/>
      <c r="E116" s="20"/>
      <c r="F116" s="20" t="s">
        <v>4</v>
      </c>
      <c r="G116" s="20"/>
      <c r="H116" s="20"/>
      <c r="I116" s="20"/>
      <c r="J116" s="20"/>
      <c r="K116" s="20"/>
      <c r="L116" s="20"/>
      <c r="M116" s="20"/>
      <c r="N116" s="20"/>
      <c r="O116" s="19"/>
      <c r="P116" s="19"/>
      <c r="Q116" s="19"/>
      <c r="R116" s="19"/>
      <c r="S116" s="6"/>
      <c r="T116" s="6"/>
      <c r="U116" s="6"/>
      <c r="V116" s="6"/>
      <c r="W116" s="6"/>
      <c r="X116" s="6"/>
      <c r="Y116" s="6"/>
      <c r="Z116" s="6"/>
    </row>
    <row r="117">
      <c r="A117" s="23"/>
      <c r="B117" s="19"/>
      <c r="C117" s="143" t="s">
        <v>54</v>
      </c>
      <c r="Q117" s="19"/>
      <c r="R117" s="19"/>
      <c r="S117" s="6"/>
      <c r="T117" s="6"/>
      <c r="U117" s="6"/>
      <c r="V117" s="6"/>
      <c r="W117" s="6"/>
      <c r="X117" s="6"/>
      <c r="Y117" s="6"/>
      <c r="Z117" s="6"/>
    </row>
    <row r="118">
      <c r="A118" s="23"/>
      <c r="B118" s="28"/>
      <c r="C118" s="29"/>
      <c r="D118" s="30" t="s">
        <v>6</v>
      </c>
      <c r="E118" s="31" t="s">
        <v>7</v>
      </c>
      <c r="G118" s="31" t="s">
        <v>8</v>
      </c>
      <c r="I118" s="31" t="s">
        <v>9</v>
      </c>
      <c r="K118" s="31" t="s">
        <v>10</v>
      </c>
      <c r="M118" s="31" t="s">
        <v>11</v>
      </c>
      <c r="O118" s="33" t="s">
        <v>12</v>
      </c>
      <c r="P118" s="29"/>
      <c r="Q118" s="19"/>
      <c r="R118" s="35"/>
      <c r="S118" s="6"/>
      <c r="T118" s="6"/>
      <c r="U118" s="6"/>
      <c r="V118" s="6"/>
      <c r="W118" s="6"/>
      <c r="X118" s="6"/>
      <c r="Y118" s="6"/>
      <c r="Z118" s="6"/>
    </row>
    <row r="119">
      <c r="A119" s="36"/>
      <c r="B119" s="38"/>
      <c r="C119" s="39"/>
      <c r="D119" s="41" t="s">
        <v>13</v>
      </c>
      <c r="E119" s="43">
        <f>SUM(E120:F133)</f>
        <v>97234</v>
      </c>
      <c r="F119" s="15"/>
      <c r="G119" s="43">
        <f>SUM(G120:H133)</f>
        <v>346672</v>
      </c>
      <c r="H119" s="15"/>
      <c r="I119" s="43">
        <f>SUM(I120:J133)</f>
        <v>231373</v>
      </c>
      <c r="J119" s="15"/>
      <c r="K119" s="43">
        <f>SUM(K120:L133)</f>
        <v>89721</v>
      </c>
      <c r="L119" s="15"/>
      <c r="M119" s="43">
        <f>SUM(M120:M133)</f>
        <v>40488</v>
      </c>
      <c r="N119" s="15"/>
      <c r="O119" s="43">
        <f t="shared" ref="O119:O138" si="5">SUM(E119:N119)</f>
        <v>805488</v>
      </c>
      <c r="P119" s="39"/>
      <c r="Q119" s="38"/>
      <c r="R119" s="48"/>
      <c r="S119" s="6"/>
      <c r="T119" s="6"/>
      <c r="U119" s="6"/>
      <c r="V119" s="6"/>
      <c r="W119" s="6"/>
      <c r="X119" s="6"/>
      <c r="Y119" s="6"/>
      <c r="Z119" s="6"/>
    </row>
    <row r="120">
      <c r="A120" s="23"/>
      <c r="B120" s="19"/>
      <c r="C120" s="52"/>
      <c r="D120" s="53" t="s">
        <v>20</v>
      </c>
      <c r="E120" s="56">
        <v>0.0</v>
      </c>
      <c r="F120" s="59"/>
      <c r="G120" s="61">
        <f>284825-82412</f>
        <v>202413</v>
      </c>
      <c r="H120" s="59"/>
      <c r="I120" s="63">
        <v>0.0</v>
      </c>
      <c r="J120" s="59"/>
      <c r="K120" s="56">
        <v>0.0</v>
      </c>
      <c r="L120" s="59"/>
      <c r="M120" s="56">
        <v>0.0</v>
      </c>
      <c r="N120" s="59"/>
      <c r="O120" s="65">
        <f t="shared" si="5"/>
        <v>202413</v>
      </c>
      <c r="P120" s="66"/>
      <c r="Q120" s="19"/>
      <c r="R120" s="35"/>
      <c r="S120" s="6"/>
      <c r="T120" s="6"/>
      <c r="U120" s="6"/>
      <c r="V120" s="6"/>
      <c r="W120" s="6"/>
      <c r="X120" s="6"/>
      <c r="Y120" s="6"/>
      <c r="Z120" s="6"/>
    </row>
    <row r="121">
      <c r="A121" s="68"/>
      <c r="B121" s="19"/>
      <c r="C121" s="52"/>
      <c r="D121" s="53" t="s">
        <v>21</v>
      </c>
      <c r="E121" s="63">
        <f>7290+640+3573</f>
        <v>11503</v>
      </c>
      <c r="F121" s="59"/>
      <c r="G121" s="73">
        <f>2071+3673+5535+996+11988</f>
        <v>24263</v>
      </c>
      <c r="H121" s="59"/>
      <c r="I121" s="73">
        <f>1994+2812+2128+2375+2397+3871+1710+955</f>
        <v>18242</v>
      </c>
      <c r="J121" s="59"/>
      <c r="K121" s="73">
        <f>1481+439+6674+1928+2462+2952+6600</f>
        <v>22536</v>
      </c>
      <c r="L121" s="59"/>
      <c r="M121" s="63">
        <f>4951</f>
        <v>4951</v>
      </c>
      <c r="N121" s="59"/>
      <c r="O121" s="84">
        <f t="shared" si="5"/>
        <v>81495</v>
      </c>
      <c r="P121" s="66"/>
      <c r="Q121" s="19"/>
      <c r="R121" s="35"/>
      <c r="S121" s="6"/>
      <c r="T121" s="6"/>
      <c r="U121" s="6"/>
      <c r="V121" s="6"/>
      <c r="W121" s="6"/>
      <c r="X121" s="6"/>
      <c r="Y121" s="6"/>
      <c r="Z121" s="6"/>
    </row>
    <row r="122">
      <c r="A122" s="23"/>
      <c r="B122" s="19"/>
      <c r="C122" s="52"/>
      <c r="D122" s="85" t="s">
        <v>22</v>
      </c>
      <c r="E122" s="63">
        <v>0.0</v>
      </c>
      <c r="F122" s="59"/>
      <c r="G122" s="63">
        <f>8990+2500+1530</f>
        <v>13020</v>
      </c>
      <c r="H122" s="59"/>
      <c r="I122" s="63">
        <f>6290+19670+23790+2497</f>
        <v>52247</v>
      </c>
      <c r="J122" s="59"/>
      <c r="K122" s="63">
        <f>2431+645</f>
        <v>3076</v>
      </c>
      <c r="L122" s="59"/>
      <c r="M122" s="63">
        <f> 1208</f>
        <v>1208</v>
      </c>
      <c r="N122" s="59"/>
      <c r="O122" s="56">
        <f t="shared" si="5"/>
        <v>69551</v>
      </c>
      <c r="P122" s="66"/>
      <c r="Q122" s="19"/>
      <c r="R122" s="35"/>
      <c r="S122" s="6"/>
      <c r="T122" s="6"/>
      <c r="U122" s="6"/>
      <c r="V122" s="6"/>
      <c r="W122" s="6"/>
      <c r="X122" s="6"/>
      <c r="Y122" s="6"/>
      <c r="Z122" s="6"/>
    </row>
    <row r="123">
      <c r="A123" s="23"/>
      <c r="B123" s="19"/>
      <c r="C123" s="52"/>
      <c r="D123" s="85" t="s">
        <v>23</v>
      </c>
      <c r="E123" s="63">
        <v>0.0</v>
      </c>
      <c r="F123" s="59"/>
      <c r="G123" s="63">
        <f>2600+3500</f>
        <v>6100</v>
      </c>
      <c r="H123" s="59"/>
      <c r="I123" s="63">
        <f>3030+700+3640+8010/2+3440+3500</f>
        <v>18315</v>
      </c>
      <c r="J123" s="59"/>
      <c r="K123" s="63">
        <f>3826</f>
        <v>3826</v>
      </c>
      <c r="L123" s="59"/>
      <c r="M123" s="63">
        <f>3728+1300</f>
        <v>5028</v>
      </c>
      <c r="N123" s="59"/>
      <c r="O123" s="84">
        <f t="shared" si="5"/>
        <v>33269</v>
      </c>
      <c r="P123" s="66"/>
      <c r="Q123" s="19"/>
      <c r="R123" s="35"/>
      <c r="S123" s="6"/>
      <c r="T123" s="6"/>
      <c r="U123" s="6"/>
      <c r="V123" s="6"/>
      <c r="W123" s="6"/>
      <c r="X123" s="6"/>
      <c r="Y123" s="6"/>
      <c r="Z123" s="6"/>
    </row>
    <row r="124">
      <c r="A124" s="23"/>
      <c r="B124" s="19"/>
      <c r="C124" s="52"/>
      <c r="D124" s="53" t="s">
        <v>24</v>
      </c>
      <c r="E124" s="63">
        <f>2880/2+1873/2</f>
        <v>2376.5</v>
      </c>
      <c r="F124" s="59"/>
      <c r="G124" s="63">
        <f>2769+1250</f>
        <v>4019</v>
      </c>
      <c r="H124" s="59"/>
      <c r="I124" s="63">
        <f>1250+1250+1380/2+1250</f>
        <v>4440</v>
      </c>
      <c r="J124" s="59"/>
      <c r="K124" s="63">
        <f>1250</f>
        <v>1250</v>
      </c>
      <c r="L124" s="59"/>
      <c r="M124" s="63">
        <f>700+1200</f>
        <v>1900</v>
      </c>
      <c r="N124" s="59"/>
      <c r="O124" s="56">
        <f t="shared" si="5"/>
        <v>13985.5</v>
      </c>
      <c r="P124" s="66"/>
      <c r="Q124" s="19"/>
      <c r="R124" s="35"/>
      <c r="S124" s="6"/>
      <c r="T124" s="6"/>
      <c r="U124" s="6"/>
      <c r="V124" s="6"/>
      <c r="W124" s="6"/>
      <c r="X124" s="6"/>
      <c r="Y124" s="6"/>
      <c r="Z124" s="6"/>
    </row>
    <row r="125">
      <c r="A125" s="23"/>
      <c r="B125" s="19"/>
      <c r="C125" s="52"/>
      <c r="D125" s="53" t="s">
        <v>25</v>
      </c>
      <c r="E125" s="63">
        <v>0.0</v>
      </c>
      <c r="F125" s="59"/>
      <c r="G125" s="63">
        <f>57224</f>
        <v>57224</v>
      </c>
      <c r="H125" s="59"/>
      <c r="I125" s="56">
        <f>12575-11950</f>
        <v>625</v>
      </c>
      <c r="J125" s="59"/>
      <c r="K125" s="63">
        <v>0.0</v>
      </c>
      <c r="L125" s="59"/>
      <c r="M125" s="63">
        <v>0.0</v>
      </c>
      <c r="N125" s="59"/>
      <c r="O125" s="56">
        <f t="shared" si="5"/>
        <v>57849</v>
      </c>
      <c r="P125" s="66"/>
      <c r="Q125" s="19"/>
      <c r="R125" s="35"/>
      <c r="S125" s="6"/>
      <c r="T125" s="6"/>
      <c r="U125" s="6"/>
      <c r="V125" s="6"/>
      <c r="W125" s="6"/>
      <c r="X125" s="6"/>
      <c r="Y125" s="6"/>
      <c r="Z125" s="6"/>
    </row>
    <row r="126">
      <c r="A126" s="23"/>
      <c r="B126" s="19"/>
      <c r="C126" s="52"/>
      <c r="D126" s="53" t="s">
        <v>26</v>
      </c>
      <c r="E126" s="63">
        <v>0.0</v>
      </c>
      <c r="F126" s="59"/>
      <c r="G126" s="63">
        <v>0.0</v>
      </c>
      <c r="H126" s="59"/>
      <c r="I126" s="63">
        <f>6500</f>
        <v>6500</v>
      </c>
      <c r="J126" s="59"/>
      <c r="K126" s="63">
        <f>10440</f>
        <v>10440</v>
      </c>
      <c r="L126" s="59"/>
      <c r="M126" s="63">
        <v>0.0</v>
      </c>
      <c r="N126" s="59"/>
      <c r="O126" s="56">
        <f t="shared" si="5"/>
        <v>16940</v>
      </c>
      <c r="P126" s="66"/>
      <c r="Q126" s="19"/>
      <c r="R126" s="35"/>
      <c r="S126" s="6"/>
      <c r="T126" s="6"/>
      <c r="U126" s="6"/>
      <c r="V126" s="6"/>
      <c r="W126" s="6"/>
      <c r="X126" s="6"/>
      <c r="Y126" s="6"/>
      <c r="Z126" s="6"/>
    </row>
    <row r="127">
      <c r="A127" s="23"/>
      <c r="B127" s="19"/>
      <c r="C127" s="52"/>
      <c r="D127" s="53" t="s">
        <v>27</v>
      </c>
      <c r="E127" s="73">
        <v>0.0</v>
      </c>
      <c r="F127" s="59"/>
      <c r="G127" s="63">
        <v>0.0</v>
      </c>
      <c r="H127" s="59"/>
      <c r="I127" s="63">
        <f>23130</f>
        <v>23130</v>
      </c>
      <c r="J127" s="59"/>
      <c r="K127" s="199">
        <v>0.0</v>
      </c>
      <c r="L127" s="59"/>
      <c r="M127" s="56">
        <v>0.0</v>
      </c>
      <c r="N127" s="59"/>
      <c r="O127" s="84">
        <f t="shared" si="5"/>
        <v>23130</v>
      </c>
      <c r="P127" s="66"/>
      <c r="Q127" s="19"/>
      <c r="R127" s="35"/>
      <c r="S127" s="6"/>
      <c r="T127" s="6"/>
      <c r="U127" s="6"/>
      <c r="V127" s="6"/>
      <c r="W127" s="6"/>
      <c r="X127" s="6"/>
      <c r="Y127" s="6"/>
      <c r="Z127" s="6"/>
    </row>
    <row r="128">
      <c r="A128" s="23"/>
      <c r="B128" s="19"/>
      <c r="C128" s="52"/>
      <c r="D128" s="53" t="s">
        <v>28</v>
      </c>
      <c r="E128" s="73">
        <f>35442</f>
        <v>35442</v>
      </c>
      <c r="F128" s="59"/>
      <c r="G128" s="63">
        <f>3413+1700+2315+11890+1035+1173</f>
        <v>21526</v>
      </c>
      <c r="H128" s="59"/>
      <c r="I128" s="73">
        <v>0.0</v>
      </c>
      <c r="J128" s="59"/>
      <c r="K128" s="63">
        <v>0.0</v>
      </c>
      <c r="L128" s="59"/>
      <c r="M128" s="56">
        <v>0.0</v>
      </c>
      <c r="N128" s="59"/>
      <c r="O128" s="65">
        <f t="shared" si="5"/>
        <v>56968</v>
      </c>
      <c r="P128" s="66"/>
      <c r="Q128" s="19"/>
      <c r="R128" s="35"/>
      <c r="S128" s="6"/>
      <c r="T128" s="6"/>
      <c r="U128" s="6"/>
      <c r="V128" s="6"/>
      <c r="W128" s="6"/>
      <c r="X128" s="6"/>
      <c r="Y128" s="6"/>
      <c r="Z128" s="6"/>
    </row>
    <row r="129">
      <c r="A129" s="23"/>
      <c r="B129" s="19"/>
      <c r="C129" s="52"/>
      <c r="D129" s="53" t="s">
        <v>29</v>
      </c>
      <c r="E129" s="63">
        <v>1000.0</v>
      </c>
      <c r="F129" s="59"/>
      <c r="G129" s="56">
        <f>842+100+8950</f>
        <v>9892</v>
      </c>
      <c r="H129" s="59"/>
      <c r="I129" s="63">
        <v>0.0</v>
      </c>
      <c r="J129" s="59"/>
      <c r="K129" s="56">
        <v>0.0</v>
      </c>
      <c r="L129" s="59"/>
      <c r="M129" s="56">
        <v>0.0</v>
      </c>
      <c r="N129" s="59"/>
      <c r="O129" s="56">
        <f t="shared" si="5"/>
        <v>10892</v>
      </c>
      <c r="P129" s="66"/>
      <c r="Q129" s="19"/>
      <c r="R129" s="35"/>
      <c r="S129" s="6"/>
      <c r="T129" s="6"/>
      <c r="U129" s="6"/>
      <c r="V129" s="6"/>
      <c r="W129" s="6"/>
      <c r="X129" s="6"/>
      <c r="Y129" s="6"/>
      <c r="Z129" s="6"/>
    </row>
    <row r="130">
      <c r="A130" s="68"/>
      <c r="B130" s="19"/>
      <c r="C130" s="52"/>
      <c r="D130" s="53" t="s">
        <v>30</v>
      </c>
      <c r="E130" s="63">
        <f>2245+1066+41225</f>
        <v>44536</v>
      </c>
      <c r="F130" s="59"/>
      <c r="G130" s="63">
        <f>8215</f>
        <v>8215</v>
      </c>
      <c r="H130" s="59"/>
      <c r="I130" s="63">
        <f>3728+4800</f>
        <v>8528</v>
      </c>
      <c r="J130" s="59"/>
      <c r="K130" s="63">
        <v>0.0</v>
      </c>
      <c r="L130" s="59"/>
      <c r="M130" s="56">
        <v>0.0</v>
      </c>
      <c r="N130" s="59"/>
      <c r="O130" s="56">
        <f t="shared" si="5"/>
        <v>61279</v>
      </c>
      <c r="P130" s="66"/>
      <c r="Q130" s="19"/>
      <c r="R130" s="35"/>
      <c r="S130" s="6"/>
      <c r="T130" s="6"/>
      <c r="U130" s="6"/>
      <c r="V130" s="6"/>
      <c r="W130" s="6"/>
      <c r="X130" s="6"/>
      <c r="Y130" s="6"/>
      <c r="Z130" s="6"/>
    </row>
    <row r="131">
      <c r="A131" s="23"/>
      <c r="B131" s="19"/>
      <c r="C131" s="52"/>
      <c r="D131" s="53" t="s">
        <v>31</v>
      </c>
      <c r="E131" s="73">
        <f>2880/2+1873/2</f>
        <v>2376.5</v>
      </c>
      <c r="F131" s="59"/>
      <c r="G131" s="63">
        <v>0.0</v>
      </c>
      <c r="H131" s="59"/>
      <c r="I131" s="63">
        <f>1380/2+8010/2+55775</f>
        <v>60470</v>
      </c>
      <c r="J131" s="59"/>
      <c r="K131" s="91">
        <f>47893</f>
        <v>47893</v>
      </c>
      <c r="L131" s="59"/>
      <c r="M131" s="63">
        <f>27401</f>
        <v>27401</v>
      </c>
      <c r="N131" s="59"/>
      <c r="O131" s="185">
        <f t="shared" si="5"/>
        <v>138140.5</v>
      </c>
      <c r="P131" s="66"/>
      <c r="Q131" s="19"/>
      <c r="R131" s="35"/>
      <c r="S131" s="6"/>
      <c r="T131" s="6"/>
      <c r="U131" s="6"/>
      <c r="V131" s="6"/>
      <c r="W131" s="6"/>
      <c r="X131" s="6"/>
      <c r="Y131" s="6"/>
      <c r="Z131" s="6"/>
    </row>
    <row r="132">
      <c r="A132" s="23"/>
      <c r="B132" s="19"/>
      <c r="C132" s="52"/>
      <c r="D132" s="53" t="s">
        <v>32</v>
      </c>
      <c r="E132" s="56">
        <v>0.0</v>
      </c>
      <c r="F132" s="59"/>
      <c r="G132" s="63">
        <v>0.0</v>
      </c>
      <c r="H132" s="59"/>
      <c r="I132" s="56">
        <f>38876</f>
        <v>38876</v>
      </c>
      <c r="J132" s="59"/>
      <c r="K132" s="63">
        <v>0.0</v>
      </c>
      <c r="L132" s="59"/>
      <c r="M132" s="56">
        <v>0.0</v>
      </c>
      <c r="N132" s="59"/>
      <c r="O132" s="56">
        <f t="shared" si="5"/>
        <v>38876</v>
      </c>
      <c r="P132" s="66"/>
      <c r="Q132" s="19"/>
      <c r="R132" s="35"/>
      <c r="S132" s="6"/>
      <c r="T132" s="6"/>
      <c r="U132" s="6"/>
      <c r="V132" s="6"/>
      <c r="W132" s="6"/>
      <c r="X132" s="6"/>
      <c r="Y132" s="6"/>
      <c r="Z132" s="6"/>
    </row>
    <row r="133">
      <c r="A133" s="23"/>
      <c r="B133" s="19"/>
      <c r="C133" s="52"/>
      <c r="D133" s="53" t="s">
        <v>33</v>
      </c>
      <c r="E133" s="63">
        <v>0.0</v>
      </c>
      <c r="F133" s="59"/>
      <c r="G133" s="63">
        <v>0.0</v>
      </c>
      <c r="H133" s="59"/>
      <c r="I133" s="63">
        <v>0.0</v>
      </c>
      <c r="J133" s="59"/>
      <c r="K133" s="63">
        <f>700</f>
        <v>700</v>
      </c>
      <c r="L133" s="59"/>
      <c r="M133" s="63">
        <v>0.0</v>
      </c>
      <c r="N133" s="59"/>
      <c r="O133" s="56">
        <f t="shared" si="5"/>
        <v>700</v>
      </c>
      <c r="P133" s="66"/>
      <c r="Q133" s="19"/>
      <c r="R133" s="35"/>
      <c r="S133" s="6"/>
      <c r="T133" s="6"/>
      <c r="U133" s="6"/>
      <c r="V133" s="6"/>
      <c r="W133" s="6"/>
      <c r="X133" s="6"/>
      <c r="Y133" s="6"/>
      <c r="Z133" s="6"/>
    </row>
    <row r="134">
      <c r="A134" s="36"/>
      <c r="B134" s="38"/>
      <c r="C134" s="97"/>
      <c r="D134" s="99" t="s">
        <v>34</v>
      </c>
      <c r="E134" s="101">
        <f>SUM(E135:F138)</f>
        <v>1056795</v>
      </c>
      <c r="F134" s="59"/>
      <c r="G134" s="101">
        <f>SUM(G135:G138)</f>
        <v>0</v>
      </c>
      <c r="H134" s="59"/>
      <c r="I134" s="101">
        <f>SUM(I135:I138)</f>
        <v>0</v>
      </c>
      <c r="J134" s="59"/>
      <c r="K134" s="101">
        <f>SUM(K135:K138)</f>
        <v>0</v>
      </c>
      <c r="L134" s="59"/>
      <c r="M134" s="101">
        <f>SUM(M135:M138)</f>
        <v>0</v>
      </c>
      <c r="N134" s="59"/>
      <c r="O134" s="101">
        <f t="shared" si="5"/>
        <v>1056795</v>
      </c>
      <c r="P134" s="97"/>
      <c r="Q134" s="38"/>
      <c r="R134" s="48"/>
      <c r="S134" s="6"/>
      <c r="T134" s="6"/>
      <c r="U134" s="6"/>
      <c r="V134" s="6"/>
      <c r="W134" s="6"/>
      <c r="X134" s="6"/>
      <c r="Y134" s="6"/>
      <c r="Z134" s="6"/>
    </row>
    <row r="135">
      <c r="A135" s="23"/>
      <c r="B135" s="19"/>
      <c r="C135" s="106"/>
      <c r="D135" s="108" t="s">
        <v>35</v>
      </c>
      <c r="E135" s="63">
        <v>1013000.0</v>
      </c>
      <c r="F135" s="59"/>
      <c r="G135" s="63">
        <v>0.0</v>
      </c>
      <c r="H135" s="59"/>
      <c r="I135" s="56">
        <v>0.0</v>
      </c>
      <c r="J135" s="59"/>
      <c r="K135" s="56">
        <v>0.0</v>
      </c>
      <c r="L135" s="59"/>
      <c r="M135" s="56">
        <v>0.0</v>
      </c>
      <c r="N135" s="59"/>
      <c r="O135" s="56">
        <f t="shared" si="5"/>
        <v>1013000</v>
      </c>
      <c r="P135" s="66"/>
      <c r="Q135" s="19"/>
      <c r="R135" s="35"/>
      <c r="S135" s="6"/>
      <c r="T135" s="6"/>
      <c r="U135" s="6"/>
      <c r="V135" s="6"/>
      <c r="W135" s="6"/>
      <c r="X135" s="6"/>
      <c r="Y135" s="6"/>
      <c r="Z135" s="6"/>
    </row>
    <row r="136">
      <c r="A136" s="23"/>
      <c r="B136" s="19"/>
      <c r="C136" s="106"/>
      <c r="D136" s="108" t="s">
        <v>36</v>
      </c>
      <c r="E136" s="56">
        <v>0.0</v>
      </c>
      <c r="F136" s="59"/>
      <c r="G136" s="56">
        <v>0.0</v>
      </c>
      <c r="H136" s="59"/>
      <c r="I136" s="56">
        <v>0.0</v>
      </c>
      <c r="J136" s="59"/>
      <c r="K136" s="56">
        <v>0.0</v>
      </c>
      <c r="L136" s="59"/>
      <c r="M136" s="56">
        <v>0.0</v>
      </c>
      <c r="N136" s="59"/>
      <c r="O136" s="56">
        <f t="shared" si="5"/>
        <v>0</v>
      </c>
      <c r="P136" s="66"/>
      <c r="Q136" s="19"/>
      <c r="R136" s="35"/>
      <c r="S136" s="6"/>
      <c r="T136" s="6"/>
      <c r="U136" s="6"/>
      <c r="V136" s="6"/>
      <c r="W136" s="6"/>
      <c r="X136" s="6"/>
      <c r="Y136" s="6"/>
      <c r="Z136" s="6"/>
    </row>
    <row r="137">
      <c r="A137" s="23"/>
      <c r="B137" s="19"/>
      <c r="C137" s="106"/>
      <c r="D137" s="108" t="s">
        <v>37</v>
      </c>
      <c r="E137" s="56">
        <v>0.0</v>
      </c>
      <c r="F137" s="59"/>
      <c r="G137" s="56">
        <v>0.0</v>
      </c>
      <c r="H137" s="59"/>
      <c r="I137" s="56">
        <v>0.0</v>
      </c>
      <c r="J137" s="59"/>
      <c r="K137" s="56">
        <v>0.0</v>
      </c>
      <c r="L137" s="59"/>
      <c r="M137" s="56">
        <v>0.0</v>
      </c>
      <c r="N137" s="59"/>
      <c r="O137" s="56">
        <f t="shared" si="5"/>
        <v>0</v>
      </c>
      <c r="P137" s="66"/>
      <c r="Q137" s="19"/>
      <c r="R137" s="35"/>
      <c r="S137" s="6"/>
      <c r="T137" s="6"/>
      <c r="U137" s="6"/>
      <c r="V137" s="6"/>
      <c r="W137" s="6"/>
      <c r="X137" s="6"/>
      <c r="Y137" s="6"/>
      <c r="Z137" s="6"/>
    </row>
    <row r="138">
      <c r="A138" s="23"/>
      <c r="B138" s="19"/>
      <c r="C138" s="117"/>
      <c r="D138" s="118" t="s">
        <v>33</v>
      </c>
      <c r="E138" s="119">
        <v>43795.0</v>
      </c>
      <c r="F138" s="120"/>
      <c r="G138" s="119">
        <v>0.0</v>
      </c>
      <c r="H138" s="120"/>
      <c r="I138" s="119">
        <v>0.0</v>
      </c>
      <c r="J138" s="120"/>
      <c r="K138" s="119">
        <v>0.0</v>
      </c>
      <c r="L138" s="120"/>
      <c r="M138" s="121">
        <v>0.0</v>
      </c>
      <c r="N138" s="120"/>
      <c r="O138" s="121">
        <f t="shared" si="5"/>
        <v>43795</v>
      </c>
      <c r="P138" s="122"/>
      <c r="Q138" s="19"/>
      <c r="R138" s="35"/>
      <c r="S138" s="6"/>
      <c r="T138" s="6"/>
      <c r="U138" s="6"/>
      <c r="V138" s="6"/>
      <c r="W138" s="6"/>
      <c r="X138" s="6"/>
      <c r="Y138" s="6"/>
      <c r="Z138" s="6"/>
    </row>
    <row r="139">
      <c r="A139" s="23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6"/>
      <c r="T139" s="6"/>
      <c r="U139" s="6"/>
      <c r="V139" s="6"/>
      <c r="W139" s="6"/>
      <c r="X139" s="6"/>
      <c r="Y139" s="6"/>
      <c r="Z139" s="6"/>
    </row>
    <row r="140">
      <c r="A140" s="12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6"/>
      <c r="P140" s="116"/>
      <c r="Q140" s="116"/>
      <c r="R140" s="19"/>
      <c r="S140" s="6"/>
      <c r="T140" s="6"/>
      <c r="U140" s="6"/>
      <c r="V140" s="6"/>
      <c r="W140" s="6"/>
      <c r="X140" s="6"/>
      <c r="Y140" s="6"/>
      <c r="Z140" s="6"/>
    </row>
    <row r="141">
      <c r="A141" s="1">
        <f>NOW()</f>
        <v>46234.09825</v>
      </c>
      <c r="G141" s="2"/>
      <c r="H141" s="2"/>
      <c r="I141" s="3">
        <f t="array" ref="I141">(INDIRECT("I" &amp; ROW() + 1)/INDIRECT("E" &amp; ROW() + 1))</f>
        <v>0.7491220742</v>
      </c>
      <c r="K141" s="2"/>
      <c r="L141" s="4">
        <f t="array" ref="L141">(1 - INDIRECT("I" &amp; ROW()))</f>
        <v>0.2508779258</v>
      </c>
      <c r="N141" s="2"/>
      <c r="O141" s="5"/>
      <c r="P141" s="5"/>
      <c r="Q141" s="5"/>
      <c r="R141" s="5"/>
      <c r="S141" s="6"/>
      <c r="T141" s="6"/>
      <c r="U141" s="6"/>
      <c r="V141" s="6"/>
      <c r="W141" s="6"/>
      <c r="X141" s="6"/>
      <c r="Y141" s="6"/>
      <c r="Z141" s="6"/>
    </row>
    <row r="142">
      <c r="A142" s="7"/>
      <c r="B142" s="7"/>
      <c r="C142" s="7"/>
      <c r="D142" s="7"/>
      <c r="E142" s="8">
        <f>O162</f>
        <v>1065295</v>
      </c>
      <c r="G142" s="2"/>
      <c r="I142" s="9">
        <f>O147</f>
        <v>798036</v>
      </c>
      <c r="K142" s="2"/>
      <c r="L142" s="11">
        <f>E142-I142</f>
        <v>267259</v>
      </c>
      <c r="N142" s="2"/>
      <c r="P142" s="5"/>
      <c r="Q142" s="5"/>
      <c r="R142" s="5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0</v>
      </c>
      <c r="B143" s="15"/>
      <c r="C143" s="15"/>
      <c r="D143" s="16" t="s">
        <v>1</v>
      </c>
      <c r="E143" s="15"/>
      <c r="F143" s="15"/>
      <c r="G143" s="15"/>
      <c r="H143" s="15"/>
      <c r="I143" s="16" t="s">
        <v>2</v>
      </c>
      <c r="J143" s="15"/>
      <c r="K143" s="15"/>
      <c r="L143" s="16" t="s">
        <v>3</v>
      </c>
      <c r="M143" s="15"/>
      <c r="N143" s="17"/>
      <c r="O143" s="15"/>
      <c r="P143" s="18"/>
      <c r="Q143" s="18"/>
      <c r="R143" s="18"/>
      <c r="S143" s="6"/>
      <c r="T143" s="6"/>
      <c r="U143" s="6"/>
      <c r="V143" s="6"/>
      <c r="W143" s="6"/>
      <c r="X143" s="6"/>
      <c r="Y143" s="6"/>
      <c r="Z143" s="6"/>
    </row>
    <row r="144">
      <c r="A144" s="19"/>
      <c r="D144" s="20"/>
      <c r="E144" s="20"/>
      <c r="F144" s="20" t="s">
        <v>4</v>
      </c>
      <c r="G144" s="20"/>
      <c r="H144" s="20"/>
      <c r="I144" s="20"/>
      <c r="J144" s="20"/>
      <c r="K144" s="20"/>
      <c r="L144" s="20"/>
      <c r="M144" s="20"/>
      <c r="N144" s="20"/>
      <c r="O144" s="19"/>
      <c r="P144" s="19"/>
      <c r="Q144" s="19"/>
      <c r="R144" s="19"/>
      <c r="S144" s="6"/>
      <c r="T144" s="6"/>
      <c r="U144" s="6"/>
      <c r="V144" s="6"/>
      <c r="W144" s="6"/>
      <c r="X144" s="6"/>
      <c r="Y144" s="6"/>
      <c r="Z144" s="6"/>
    </row>
    <row r="145">
      <c r="A145" s="23"/>
      <c r="B145" s="19"/>
      <c r="C145" s="143" t="s">
        <v>55</v>
      </c>
      <c r="Q145" s="19"/>
      <c r="R145" s="19"/>
      <c r="S145" s="6"/>
      <c r="T145" s="6"/>
      <c r="U145" s="6"/>
      <c r="V145" s="6"/>
      <c r="W145" s="6"/>
      <c r="X145" s="6"/>
      <c r="Y145" s="6"/>
      <c r="Z145" s="6"/>
    </row>
    <row r="146">
      <c r="A146" s="23"/>
      <c r="B146" s="28"/>
      <c r="C146" s="29"/>
      <c r="D146" s="30" t="s">
        <v>6</v>
      </c>
      <c r="E146" s="31" t="s">
        <v>7</v>
      </c>
      <c r="G146" s="31" t="s">
        <v>8</v>
      </c>
      <c r="I146" s="31" t="s">
        <v>9</v>
      </c>
      <c r="K146" s="31" t="s">
        <v>10</v>
      </c>
      <c r="M146" s="31" t="s">
        <v>11</v>
      </c>
      <c r="O146" s="33" t="s">
        <v>12</v>
      </c>
      <c r="P146" s="29"/>
      <c r="Q146" s="19"/>
      <c r="R146" s="35"/>
      <c r="S146" s="6"/>
      <c r="T146" s="6"/>
      <c r="U146" s="6"/>
      <c r="V146" s="6"/>
      <c r="W146" s="6"/>
      <c r="X146" s="6"/>
      <c r="Y146" s="6"/>
      <c r="Z146" s="6"/>
    </row>
    <row r="147">
      <c r="A147" s="36"/>
      <c r="B147" s="38"/>
      <c r="C147" s="39"/>
      <c r="D147" s="41" t="s">
        <v>13</v>
      </c>
      <c r="E147" s="43">
        <f>SUM(E148:F161)</f>
        <v>61533</v>
      </c>
      <c r="F147" s="15"/>
      <c r="G147" s="43">
        <f>SUM(G148:H161)</f>
        <v>458526</v>
      </c>
      <c r="H147" s="15"/>
      <c r="I147" s="43">
        <f>SUM(I148:J161)</f>
        <v>76850</v>
      </c>
      <c r="J147" s="15"/>
      <c r="K147" s="43">
        <f>SUM(K148:L161)</f>
        <v>148600</v>
      </c>
      <c r="L147" s="15"/>
      <c r="M147" s="43">
        <f>SUM(M148:M161)</f>
        <v>52527</v>
      </c>
      <c r="N147" s="15"/>
      <c r="O147" s="43">
        <f t="shared" ref="O147:O165" si="6">SUM(E147:N147)</f>
        <v>798036</v>
      </c>
      <c r="P147" s="39"/>
      <c r="Q147" s="38"/>
      <c r="R147" s="48"/>
      <c r="S147" s="6"/>
      <c r="T147" s="6"/>
      <c r="U147" s="6"/>
      <c r="V147" s="6"/>
      <c r="W147" s="6"/>
      <c r="X147" s="6"/>
      <c r="Y147" s="6"/>
      <c r="Z147" s="6"/>
    </row>
    <row r="148">
      <c r="A148" s="23"/>
      <c r="B148" s="19"/>
      <c r="C148" s="52"/>
      <c r="D148" s="53" t="s">
        <v>20</v>
      </c>
      <c r="E148" s="56">
        <v>0.0</v>
      </c>
      <c r="F148" s="59"/>
      <c r="G148" s="207">
        <v>287965.0</v>
      </c>
      <c r="H148" s="59"/>
      <c r="I148" s="63">
        <v>0.0</v>
      </c>
      <c r="J148" s="59"/>
      <c r="K148" s="56">
        <v>0.0</v>
      </c>
      <c r="L148" s="59"/>
      <c r="M148" s="56">
        <v>0.0</v>
      </c>
      <c r="N148" s="59"/>
      <c r="O148" s="65">
        <f t="shared" si="6"/>
        <v>287965</v>
      </c>
      <c r="P148" s="66"/>
      <c r="Q148" s="19"/>
      <c r="R148" s="35"/>
      <c r="S148" s="6"/>
      <c r="T148" s="6"/>
      <c r="U148" s="6"/>
      <c r="V148" s="6"/>
      <c r="W148" s="6"/>
      <c r="X148" s="6"/>
      <c r="Y148" s="6"/>
      <c r="Z148" s="6"/>
    </row>
    <row r="149">
      <c r="A149" s="68"/>
      <c r="B149" s="19"/>
      <c r="C149" s="52"/>
      <c r="D149" s="53" t="s">
        <v>21</v>
      </c>
      <c r="E149" s="63">
        <f>8112-2000+1999+1540+3087+3660+1797</f>
        <v>18195</v>
      </c>
      <c r="F149" s="59"/>
      <c r="G149" s="73">
        <f>628+2552+499+5342+735+1367+1029+4101+5504</f>
        <v>21757</v>
      </c>
      <c r="H149" s="59"/>
      <c r="I149" s="73">
        <f>2296+5066+4120+2998+2256+379+4724</f>
        <v>21839</v>
      </c>
      <c r="J149" s="59"/>
      <c r="K149" s="73">
        <f>1999+2935+5288+295+2633+690</f>
        <v>13840</v>
      </c>
      <c r="L149" s="59"/>
      <c r="M149" s="63">
        <f>2062+2000+8466+1203+157</f>
        <v>13888</v>
      </c>
      <c r="N149" s="59"/>
      <c r="O149" s="84">
        <f t="shared" si="6"/>
        <v>89519</v>
      </c>
      <c r="P149" s="66"/>
      <c r="Q149" s="19"/>
      <c r="R149" s="35"/>
      <c r="S149" s="6"/>
      <c r="T149" s="6"/>
      <c r="U149" s="6"/>
      <c r="V149" s="6"/>
      <c r="W149" s="6"/>
      <c r="X149" s="6"/>
      <c r="Y149" s="6"/>
      <c r="Z149" s="6"/>
    </row>
    <row r="150">
      <c r="A150" s="23"/>
      <c r="B150" s="19"/>
      <c r="C150" s="52"/>
      <c r="D150" s="85" t="s">
        <v>22</v>
      </c>
      <c r="E150" s="63">
        <f>2000+2914</f>
        <v>4914</v>
      </c>
      <c r="F150" s="59"/>
      <c r="G150" s="63">
        <f>350</f>
        <v>350</v>
      </c>
      <c r="H150" s="59"/>
      <c r="I150" s="63">
        <f>6715+1235</f>
        <v>7950</v>
      </c>
      <c r="J150" s="59"/>
      <c r="K150" s="63">
        <f>3500+3400</f>
        <v>6900</v>
      </c>
      <c r="L150" s="59"/>
      <c r="M150" s="63">
        <f>1461</f>
        <v>1461</v>
      </c>
      <c r="N150" s="59"/>
      <c r="O150" s="56">
        <f t="shared" si="6"/>
        <v>21575</v>
      </c>
      <c r="P150" s="66"/>
      <c r="Q150" s="19"/>
      <c r="R150" s="35"/>
      <c r="S150" s="6"/>
      <c r="T150" s="6"/>
      <c r="U150" s="6"/>
      <c r="V150" s="6"/>
      <c r="W150" s="6"/>
      <c r="X150" s="6"/>
      <c r="Y150" s="6"/>
      <c r="Z150" s="6"/>
    </row>
    <row r="151">
      <c r="A151" s="23"/>
      <c r="B151" s="19"/>
      <c r="C151" s="52"/>
      <c r="D151" s="85" t="s">
        <v>23</v>
      </c>
      <c r="E151" s="63">
        <f>2600+2600+2650</f>
        <v>7850</v>
      </c>
      <c r="F151" s="59"/>
      <c r="G151" s="63">
        <f>3320+2600</f>
        <v>5920</v>
      </c>
      <c r="H151" s="59"/>
      <c r="I151" s="63">
        <f>3500+2600+4353</f>
        <v>10453</v>
      </c>
      <c r="J151" s="59"/>
      <c r="K151" s="63">
        <v>0.0</v>
      </c>
      <c r="L151" s="59"/>
      <c r="M151" s="63">
        <f>6500</f>
        <v>6500</v>
      </c>
      <c r="N151" s="59"/>
      <c r="O151" s="84">
        <f t="shared" si="6"/>
        <v>30723</v>
      </c>
      <c r="P151" s="66"/>
      <c r="Q151" s="19"/>
      <c r="R151" s="35"/>
      <c r="S151" s="6"/>
      <c r="T151" s="6"/>
      <c r="U151" s="6"/>
      <c r="V151" s="6"/>
      <c r="W151" s="6"/>
      <c r="X151" s="6"/>
      <c r="Y151" s="6"/>
      <c r="Z151" s="6"/>
    </row>
    <row r="152">
      <c r="A152" s="23"/>
      <c r="B152" s="19"/>
      <c r="C152" s="52"/>
      <c r="D152" s="53" t="s">
        <v>24</v>
      </c>
      <c r="E152" s="63">
        <f>1250+1250+1490</f>
        <v>3990</v>
      </c>
      <c r="F152" s="59"/>
      <c r="G152" s="63">
        <f>2500/2+1313</f>
        <v>2563</v>
      </c>
      <c r="H152" s="59"/>
      <c r="I152" s="63">
        <f>1290+1250</f>
        <v>2540</v>
      </c>
      <c r="J152" s="59"/>
      <c r="K152" s="63">
        <f>2625/2+2490/2+948</f>
        <v>3505.5</v>
      </c>
      <c r="L152" s="59"/>
      <c r="M152" s="63">
        <f>1990+1500+2700/2+1313</f>
        <v>6153</v>
      </c>
      <c r="N152" s="59"/>
      <c r="O152" s="56">
        <f t="shared" si="6"/>
        <v>18751.5</v>
      </c>
      <c r="P152" s="66"/>
      <c r="Q152" s="19"/>
      <c r="R152" s="35"/>
      <c r="S152" s="6"/>
      <c r="T152" s="6"/>
      <c r="U152" s="6"/>
      <c r="V152" s="6"/>
      <c r="W152" s="6"/>
      <c r="X152" s="6"/>
      <c r="Y152" s="6"/>
      <c r="Z152" s="6"/>
    </row>
    <row r="153">
      <c r="A153" s="23"/>
      <c r="B153" s="19"/>
      <c r="C153" s="52"/>
      <c r="D153" s="53" t="s">
        <v>25</v>
      </c>
      <c r="E153" s="63">
        <v>0.0</v>
      </c>
      <c r="F153" s="59"/>
      <c r="G153" s="63">
        <v>0.0</v>
      </c>
      <c r="H153" s="59"/>
      <c r="I153" s="63">
        <v>0.0</v>
      </c>
      <c r="J153" s="59"/>
      <c r="K153" s="63">
        <v>0.0</v>
      </c>
      <c r="L153" s="59"/>
      <c r="M153" s="63">
        <v>0.0</v>
      </c>
      <c r="N153" s="59"/>
      <c r="O153" s="56">
        <f t="shared" si="6"/>
        <v>0</v>
      </c>
      <c r="P153" s="66"/>
      <c r="Q153" s="19"/>
      <c r="R153" s="35"/>
      <c r="S153" s="6"/>
      <c r="T153" s="6"/>
      <c r="U153" s="6"/>
      <c r="V153" s="6"/>
      <c r="W153" s="6"/>
      <c r="X153" s="6"/>
      <c r="Y153" s="6"/>
      <c r="Z153" s="6"/>
    </row>
    <row r="154">
      <c r="A154" s="23"/>
      <c r="B154" s="19"/>
      <c r="C154" s="52"/>
      <c r="D154" s="53" t="s">
        <v>26</v>
      </c>
      <c r="E154" s="63">
        <v>0.0</v>
      </c>
      <c r="F154" s="59"/>
      <c r="G154" s="63">
        <v>0.0</v>
      </c>
      <c r="H154" s="59"/>
      <c r="I154" s="63">
        <v>0.0</v>
      </c>
      <c r="J154" s="59"/>
      <c r="K154" s="63">
        <v>6500.0</v>
      </c>
      <c r="L154" s="59"/>
      <c r="M154" s="63">
        <v>6500.0</v>
      </c>
      <c r="N154" s="59"/>
      <c r="O154" s="56">
        <f t="shared" si="6"/>
        <v>13000</v>
      </c>
      <c r="P154" s="66"/>
      <c r="Q154" s="19"/>
      <c r="R154" s="35"/>
      <c r="S154" s="6"/>
      <c r="T154" s="6"/>
      <c r="U154" s="6"/>
      <c r="V154" s="6"/>
      <c r="W154" s="6"/>
      <c r="X154" s="6"/>
      <c r="Y154" s="6"/>
      <c r="Z154" s="6"/>
    </row>
    <row r="155">
      <c r="A155" s="23"/>
      <c r="B155" s="19"/>
      <c r="C155" s="52"/>
      <c r="D155" s="53" t="s">
        <v>27</v>
      </c>
      <c r="E155" s="73">
        <f>7995</f>
        <v>7995</v>
      </c>
      <c r="F155" s="59"/>
      <c r="G155" s="63">
        <v>0.0</v>
      </c>
      <c r="H155" s="59"/>
      <c r="I155" s="63">
        <v>0.0</v>
      </c>
      <c r="J155" s="59"/>
      <c r="K155" s="199">
        <v>0.0</v>
      </c>
      <c r="L155" s="59"/>
      <c r="M155" s="56">
        <v>0.0</v>
      </c>
      <c r="N155" s="59"/>
      <c r="O155" s="84">
        <f t="shared" si="6"/>
        <v>7995</v>
      </c>
      <c r="P155" s="66"/>
      <c r="Q155" s="19"/>
      <c r="R155" s="35"/>
      <c r="S155" s="6"/>
      <c r="T155" s="6"/>
      <c r="U155" s="6"/>
      <c r="V155" s="6"/>
      <c r="W155" s="6"/>
      <c r="X155" s="6"/>
      <c r="Y155" s="6"/>
      <c r="Z155" s="6"/>
    </row>
    <row r="156">
      <c r="A156" s="23"/>
      <c r="B156" s="19"/>
      <c r="C156" s="52"/>
      <c r="D156" s="53" t="s">
        <v>28</v>
      </c>
      <c r="E156" s="73">
        <v>0.0</v>
      </c>
      <c r="F156" s="59"/>
      <c r="G156" s="63">
        <v>0.0</v>
      </c>
      <c r="H156" s="59"/>
      <c r="I156" s="73">
        <v>0.0</v>
      </c>
      <c r="J156" s="59"/>
      <c r="K156" s="63">
        <v>0.0</v>
      </c>
      <c r="L156" s="59"/>
      <c r="M156" s="56">
        <v>0.0</v>
      </c>
      <c r="N156" s="59"/>
      <c r="O156" s="65">
        <f t="shared" si="6"/>
        <v>0</v>
      </c>
      <c r="P156" s="66"/>
      <c r="Q156" s="19"/>
      <c r="R156" s="35"/>
      <c r="S156" s="6"/>
      <c r="T156" s="6"/>
      <c r="U156" s="6"/>
      <c r="V156" s="6"/>
      <c r="W156" s="6"/>
      <c r="X156" s="6"/>
      <c r="Y156" s="6"/>
      <c r="Z156" s="6"/>
    </row>
    <row r="157">
      <c r="A157" s="23"/>
      <c r="B157" s="19"/>
      <c r="C157" s="52"/>
      <c r="D157" s="53" t="s">
        <v>29</v>
      </c>
      <c r="E157" s="63">
        <v>0.0</v>
      </c>
      <c r="F157" s="59"/>
      <c r="G157" s="63">
        <f>8950</f>
        <v>8950</v>
      </c>
      <c r="H157" s="59"/>
      <c r="I157" s="63">
        <v>4040.0</v>
      </c>
      <c r="J157" s="59"/>
      <c r="K157" s="56">
        <f>2000+3360</f>
        <v>5360</v>
      </c>
      <c r="L157" s="59"/>
      <c r="M157" s="56">
        <v>0.0</v>
      </c>
      <c r="N157" s="59"/>
      <c r="O157" s="56">
        <f t="shared" si="6"/>
        <v>18350</v>
      </c>
      <c r="P157" s="66"/>
      <c r="Q157" s="19"/>
      <c r="R157" s="35"/>
      <c r="S157" s="6"/>
      <c r="T157" s="6"/>
      <c r="U157" s="6"/>
      <c r="V157" s="6"/>
      <c r="W157" s="6"/>
      <c r="X157" s="6"/>
      <c r="Y157" s="6"/>
      <c r="Z157" s="6"/>
    </row>
    <row r="158">
      <c r="A158" s="68"/>
      <c r="B158" s="19"/>
      <c r="C158" s="52"/>
      <c r="D158" s="53" t="s">
        <v>30</v>
      </c>
      <c r="E158" s="63">
        <f>2245+1054</f>
        <v>3299</v>
      </c>
      <c r="F158" s="59"/>
      <c r="G158" s="63">
        <f>8349</f>
        <v>8349</v>
      </c>
      <c r="H158" s="59"/>
      <c r="I158" s="63">
        <f>3728+4800</f>
        <v>8528</v>
      </c>
      <c r="J158" s="59"/>
      <c r="K158" s="63">
        <v>0.0</v>
      </c>
      <c r="L158" s="59"/>
      <c r="M158" s="56">
        <v>0.0</v>
      </c>
      <c r="N158" s="59"/>
      <c r="O158" s="56">
        <f t="shared" si="6"/>
        <v>20176</v>
      </c>
      <c r="P158" s="66"/>
      <c r="Q158" s="19"/>
      <c r="R158" s="35"/>
      <c r="S158" s="6"/>
      <c r="T158" s="6"/>
      <c r="U158" s="6"/>
      <c r="V158" s="6"/>
      <c r="W158" s="6"/>
      <c r="X158" s="6"/>
      <c r="Y158" s="6"/>
      <c r="Z158" s="6"/>
    </row>
    <row r="159">
      <c r="A159" s="23"/>
      <c r="B159" s="19"/>
      <c r="C159" s="52"/>
      <c r="D159" s="53" t="s">
        <v>31</v>
      </c>
      <c r="E159" s="73">
        <f>6804+6787</f>
        <v>13591</v>
      </c>
      <c r="F159" s="59"/>
      <c r="G159" s="63">
        <f>2500/2+68222</f>
        <v>69472</v>
      </c>
      <c r="H159" s="59"/>
      <c r="I159" s="63">
        <v>0.0</v>
      </c>
      <c r="J159" s="59"/>
      <c r="K159" s="91">
        <f>26430+2625/2+82307+2490/2</f>
        <v>111294.5</v>
      </c>
      <c r="L159" s="59"/>
      <c r="M159" s="63">
        <f>16675+2700/2</f>
        <v>18025</v>
      </c>
      <c r="N159" s="59"/>
      <c r="O159" s="185">
        <f t="shared" si="6"/>
        <v>212382.5</v>
      </c>
      <c r="P159" s="66"/>
      <c r="Q159" s="208">
        <f>(6803+6787+68222+82848) </f>
        <v>164660</v>
      </c>
      <c r="R159" s="35"/>
      <c r="S159" s="6"/>
      <c r="T159" s="6"/>
      <c r="U159" s="6"/>
      <c r="V159" s="6"/>
      <c r="W159" s="6"/>
      <c r="X159" s="6"/>
      <c r="Y159" s="6"/>
      <c r="Z159" s="6"/>
    </row>
    <row r="160">
      <c r="A160" s="23"/>
      <c r="B160" s="19"/>
      <c r="C160" s="52"/>
      <c r="D160" s="53" t="s">
        <v>32</v>
      </c>
      <c r="E160" s="56">
        <v>0.0</v>
      </c>
      <c r="F160" s="59"/>
      <c r="G160" s="63">
        <v>0.0</v>
      </c>
      <c r="H160" s="59"/>
      <c r="I160" s="63">
        <f>1500</f>
        <v>1500</v>
      </c>
      <c r="J160" s="59"/>
      <c r="K160" s="63">
        <v>0.0</v>
      </c>
      <c r="L160" s="59"/>
      <c r="M160" s="56">
        <v>0.0</v>
      </c>
      <c r="N160" s="59"/>
      <c r="O160" s="56">
        <f t="shared" si="6"/>
        <v>1500</v>
      </c>
      <c r="P160" s="66"/>
      <c r="Q160" s="19"/>
      <c r="R160" s="35"/>
      <c r="S160" s="6"/>
      <c r="T160" s="6"/>
      <c r="U160" s="6"/>
      <c r="V160" s="6"/>
      <c r="W160" s="6"/>
      <c r="X160" s="6"/>
      <c r="Y160" s="6"/>
      <c r="Z160" s="6"/>
    </row>
    <row r="161">
      <c r="A161" s="23"/>
      <c r="B161" s="19"/>
      <c r="C161" s="52"/>
      <c r="D161" s="53" t="s">
        <v>33</v>
      </c>
      <c r="E161" s="63">
        <f>1699</f>
        <v>1699</v>
      </c>
      <c r="F161" s="59"/>
      <c r="G161" s="63">
        <f>1100+51000+ 1100</f>
        <v>53200</v>
      </c>
      <c r="H161" s="59"/>
      <c r="I161" s="63">
        <f>20000</f>
        <v>20000</v>
      </c>
      <c r="J161" s="59"/>
      <c r="K161" s="63">
        <f>1200</f>
        <v>1200</v>
      </c>
      <c r="L161" s="59"/>
      <c r="M161" s="63">
        <v>0.0</v>
      </c>
      <c r="N161" s="59"/>
      <c r="O161" s="56">
        <f t="shared" si="6"/>
        <v>76099</v>
      </c>
      <c r="P161" s="66"/>
      <c r="Q161" s="19"/>
      <c r="R161" s="35"/>
      <c r="S161" s="6"/>
      <c r="T161" s="6"/>
      <c r="U161" s="6"/>
      <c r="V161" s="6"/>
      <c r="W161" s="6"/>
      <c r="X161" s="6"/>
      <c r="Y161" s="6"/>
      <c r="Z161" s="6"/>
    </row>
    <row r="162">
      <c r="A162" s="36"/>
      <c r="B162" s="38"/>
      <c r="C162" s="97"/>
      <c r="D162" s="99" t="s">
        <v>34</v>
      </c>
      <c r="E162" s="101">
        <f>SUM(E163:F165)</f>
        <v>1065295</v>
      </c>
      <c r="F162" s="59"/>
      <c r="G162" s="101">
        <f>SUM(G163:G165)</f>
        <v>0</v>
      </c>
      <c r="H162" s="59"/>
      <c r="I162" s="101">
        <f>SUM(I163:I165)</f>
        <v>0</v>
      </c>
      <c r="J162" s="59"/>
      <c r="K162" s="101">
        <f>SUM(K163:K165)</f>
        <v>0</v>
      </c>
      <c r="L162" s="59"/>
      <c r="M162" s="101">
        <f>SUM(M163:M165)</f>
        <v>0</v>
      </c>
      <c r="N162" s="59"/>
      <c r="O162" s="101">
        <f t="shared" si="6"/>
        <v>1065295</v>
      </c>
      <c r="P162" s="97"/>
      <c r="Q162" s="38"/>
      <c r="R162" s="48"/>
      <c r="S162" s="6"/>
      <c r="T162" s="6"/>
      <c r="U162" s="6"/>
      <c r="V162" s="6"/>
      <c r="W162" s="6"/>
      <c r="X162" s="6"/>
      <c r="Y162" s="6"/>
      <c r="Z162" s="6"/>
    </row>
    <row r="163">
      <c r="A163" s="23"/>
      <c r="B163" s="19"/>
      <c r="C163" s="106"/>
      <c r="D163" s="108" t="s">
        <v>35</v>
      </c>
      <c r="E163" s="63">
        <v>1013000.0</v>
      </c>
      <c r="F163" s="59"/>
      <c r="G163" s="63">
        <v>0.0</v>
      </c>
      <c r="H163" s="59"/>
      <c r="I163" s="56">
        <v>0.0</v>
      </c>
      <c r="J163" s="59"/>
      <c r="K163" s="56">
        <v>0.0</v>
      </c>
      <c r="L163" s="59"/>
      <c r="M163" s="56">
        <v>0.0</v>
      </c>
      <c r="N163" s="59"/>
      <c r="O163" s="56">
        <f t="shared" si="6"/>
        <v>1013000</v>
      </c>
      <c r="P163" s="66"/>
      <c r="Q163" s="19"/>
      <c r="R163" s="35"/>
      <c r="S163" s="6"/>
      <c r="T163" s="6"/>
      <c r="U163" s="6"/>
      <c r="V163" s="6"/>
      <c r="W163" s="6"/>
      <c r="X163" s="6"/>
      <c r="Y163" s="6"/>
      <c r="Z163" s="6"/>
    </row>
    <row r="164">
      <c r="A164" s="23"/>
      <c r="B164" s="19"/>
      <c r="C164" s="106"/>
      <c r="D164" s="108" t="s">
        <v>37</v>
      </c>
      <c r="E164" s="56">
        <v>0.0</v>
      </c>
      <c r="F164" s="59"/>
      <c r="G164" s="56">
        <v>0.0</v>
      </c>
      <c r="H164" s="59"/>
      <c r="I164" s="56">
        <v>0.0</v>
      </c>
      <c r="J164" s="59"/>
      <c r="K164" s="56">
        <v>0.0</v>
      </c>
      <c r="L164" s="59"/>
      <c r="M164" s="56">
        <v>0.0</v>
      </c>
      <c r="N164" s="59"/>
      <c r="O164" s="56">
        <f t="shared" si="6"/>
        <v>0</v>
      </c>
      <c r="P164" s="66"/>
      <c r="Q164" s="19"/>
      <c r="R164" s="35"/>
      <c r="S164" s="6"/>
      <c r="T164" s="6"/>
      <c r="U164" s="6"/>
      <c r="V164" s="6"/>
      <c r="W164" s="6"/>
      <c r="X164" s="6"/>
      <c r="Y164" s="6"/>
      <c r="Z164" s="6"/>
    </row>
    <row r="165">
      <c r="A165" s="23"/>
      <c r="B165" s="19"/>
      <c r="C165" s="117"/>
      <c r="D165" s="118" t="s">
        <v>33</v>
      </c>
      <c r="E165" s="119">
        <f>43795+8500</f>
        <v>52295</v>
      </c>
      <c r="F165" s="120"/>
      <c r="G165" s="119">
        <v>0.0</v>
      </c>
      <c r="H165" s="120"/>
      <c r="I165" s="119">
        <v>0.0</v>
      </c>
      <c r="J165" s="120"/>
      <c r="K165" s="119">
        <v>0.0</v>
      </c>
      <c r="L165" s="120"/>
      <c r="M165" s="121">
        <v>0.0</v>
      </c>
      <c r="N165" s="120"/>
      <c r="O165" s="121">
        <f t="shared" si="6"/>
        <v>52295</v>
      </c>
      <c r="P165" s="122"/>
      <c r="Q165" s="19"/>
      <c r="R165" s="35"/>
      <c r="S165" s="6"/>
      <c r="T165" s="6"/>
      <c r="U165" s="6"/>
      <c r="V165" s="6"/>
      <c r="W165" s="6"/>
      <c r="X165" s="6"/>
      <c r="Y165" s="6"/>
      <c r="Z165" s="6"/>
    </row>
    <row r="166">
      <c r="A166" s="23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6"/>
      <c r="T166" s="6"/>
      <c r="U166" s="6"/>
      <c r="V166" s="6"/>
      <c r="W166" s="6"/>
      <c r="X166" s="6"/>
      <c r="Y166" s="6"/>
      <c r="Z166" s="6"/>
    </row>
    <row r="167">
      <c r="A167" s="12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6"/>
      <c r="P167" s="116"/>
      <c r="Q167" s="116"/>
      <c r="R167" s="19"/>
      <c r="S167" s="6"/>
      <c r="T167" s="6"/>
      <c r="U167" s="6"/>
      <c r="V167" s="6"/>
      <c r="W167" s="6"/>
      <c r="X167" s="6"/>
      <c r="Y167" s="6"/>
      <c r="Z167" s="6"/>
    </row>
    <row r="168">
      <c r="A168" s="1">
        <f>NOW()</f>
        <v>46234.09825</v>
      </c>
      <c r="G168" s="2"/>
      <c r="H168" s="2"/>
      <c r="I168" s="3">
        <f t="array" ref="I168">(INDIRECT("I" &amp; ROW() + 1)/INDIRECT("E" &amp; ROW() + 1))</f>
        <v>0.07348539688</v>
      </c>
      <c r="K168" s="2"/>
      <c r="L168" s="4">
        <f t="array" ref="L168">(1 - INDIRECT("I" &amp; ROW()))</f>
        <v>0.9265146031</v>
      </c>
      <c r="N168" s="2"/>
      <c r="O168" s="5"/>
      <c r="P168" s="5"/>
      <c r="Q168" s="5"/>
      <c r="R168" s="5"/>
      <c r="S168" s="6"/>
      <c r="T168" s="6"/>
      <c r="U168" s="6"/>
      <c r="V168" s="6"/>
      <c r="W168" s="6"/>
      <c r="X168" s="6"/>
      <c r="Y168" s="6"/>
      <c r="Z168" s="6"/>
    </row>
    <row r="169">
      <c r="A169" s="7"/>
      <c r="B169" s="7"/>
      <c r="C169" s="7"/>
      <c r="D169" s="7"/>
      <c r="E169" s="8">
        <f>O189</f>
        <v>1056795</v>
      </c>
      <c r="G169" s="2"/>
      <c r="I169" s="9">
        <f>O174</f>
        <v>77659</v>
      </c>
      <c r="K169" s="2"/>
      <c r="L169" s="11">
        <f>E169-I169</f>
        <v>979136</v>
      </c>
      <c r="N169" s="2"/>
      <c r="P169" s="5"/>
      <c r="Q169" s="5"/>
      <c r="R169" s="5"/>
      <c r="S169" s="6"/>
      <c r="T169" s="6"/>
      <c r="U169" s="6"/>
      <c r="V169" s="6"/>
      <c r="W169" s="6"/>
      <c r="X169" s="6"/>
      <c r="Y169" s="6"/>
      <c r="Z169" s="6"/>
    </row>
    <row r="170">
      <c r="A170" s="14" t="s">
        <v>0</v>
      </c>
      <c r="B170" s="15"/>
      <c r="C170" s="15"/>
      <c r="D170" s="16" t="s">
        <v>1</v>
      </c>
      <c r="E170" s="15"/>
      <c r="F170" s="15"/>
      <c r="G170" s="15"/>
      <c r="H170" s="15"/>
      <c r="I170" s="16" t="s">
        <v>2</v>
      </c>
      <c r="J170" s="15"/>
      <c r="K170" s="15"/>
      <c r="L170" s="16" t="s">
        <v>3</v>
      </c>
      <c r="M170" s="15"/>
      <c r="N170" s="17"/>
      <c r="O170" s="15"/>
      <c r="P170" s="18"/>
      <c r="Q170" s="18"/>
      <c r="R170" s="18"/>
      <c r="S170" s="6"/>
      <c r="T170" s="6"/>
      <c r="U170" s="6"/>
      <c r="V170" s="6"/>
      <c r="W170" s="6"/>
      <c r="X170" s="6"/>
      <c r="Y170" s="6"/>
      <c r="Z170" s="6"/>
    </row>
    <row r="171">
      <c r="A171" s="19"/>
      <c r="D171" s="20"/>
      <c r="E171" s="20"/>
      <c r="F171" s="20" t="s">
        <v>4</v>
      </c>
      <c r="G171" s="20"/>
      <c r="H171" s="20"/>
      <c r="I171" s="20"/>
      <c r="J171" s="20"/>
      <c r="K171" s="20"/>
      <c r="L171" s="20"/>
      <c r="M171" s="20"/>
      <c r="N171" s="20"/>
      <c r="O171" s="19"/>
      <c r="P171" s="19"/>
      <c r="Q171" s="19"/>
      <c r="R171" s="19"/>
      <c r="S171" s="6"/>
      <c r="T171" s="6"/>
      <c r="U171" s="6"/>
      <c r="V171" s="6"/>
      <c r="W171" s="6"/>
      <c r="X171" s="6"/>
      <c r="Y171" s="6"/>
      <c r="Z171" s="6"/>
    </row>
    <row r="172">
      <c r="A172" s="23"/>
      <c r="B172" s="19"/>
      <c r="C172" s="143" t="s">
        <v>57</v>
      </c>
      <c r="Q172" s="19"/>
      <c r="R172" s="19"/>
      <c r="S172" s="6"/>
      <c r="T172" s="6"/>
      <c r="U172" s="6"/>
      <c r="V172" s="6"/>
      <c r="W172" s="6"/>
      <c r="X172" s="6"/>
      <c r="Y172" s="6"/>
      <c r="Z172" s="6"/>
    </row>
    <row r="173">
      <c r="A173" s="23"/>
      <c r="B173" s="28"/>
      <c r="C173" s="29"/>
      <c r="D173" s="30" t="s">
        <v>6</v>
      </c>
      <c r="E173" s="31" t="s">
        <v>7</v>
      </c>
      <c r="G173" s="31" t="s">
        <v>8</v>
      </c>
      <c r="I173" s="31" t="s">
        <v>9</v>
      </c>
      <c r="K173" s="31" t="s">
        <v>10</v>
      </c>
      <c r="M173" s="31" t="s">
        <v>11</v>
      </c>
      <c r="O173" s="33" t="s">
        <v>12</v>
      </c>
      <c r="P173" s="29"/>
      <c r="Q173" s="19"/>
      <c r="R173" s="35"/>
      <c r="S173" s="6"/>
      <c r="T173" s="6"/>
      <c r="U173" s="6"/>
      <c r="V173" s="6"/>
      <c r="W173" s="6"/>
      <c r="X173" s="6"/>
      <c r="Y173" s="6"/>
      <c r="Z173" s="6"/>
    </row>
    <row r="174">
      <c r="A174" s="36"/>
      <c r="B174" s="38"/>
      <c r="C174" s="39"/>
      <c r="D174" s="41" t="s">
        <v>13</v>
      </c>
      <c r="E174" s="43">
        <f>SUM(E175:F188)</f>
        <v>64602</v>
      </c>
      <c r="F174" s="15"/>
      <c r="G174" s="43">
        <f>SUM(G175:H188)</f>
        <v>13057</v>
      </c>
      <c r="H174" s="15"/>
      <c r="I174" s="43">
        <f>SUM(I175:J188)</f>
        <v>0</v>
      </c>
      <c r="J174" s="15"/>
      <c r="K174" s="43">
        <f>SUM(K175:L188)</f>
        <v>0</v>
      </c>
      <c r="L174" s="15"/>
      <c r="M174" s="43">
        <f>SUM(M175:M188)</f>
        <v>0</v>
      </c>
      <c r="N174" s="15"/>
      <c r="O174" s="43">
        <f t="shared" ref="O174:O192" si="7">SUM(E174:N174)</f>
        <v>77659</v>
      </c>
      <c r="P174" s="39"/>
      <c r="Q174" s="38"/>
      <c r="R174" s="48"/>
      <c r="S174" s="6"/>
      <c r="T174" s="6"/>
      <c r="U174" s="6"/>
      <c r="V174" s="6"/>
      <c r="W174" s="6"/>
      <c r="X174" s="6"/>
      <c r="Y174" s="6"/>
      <c r="Z174" s="6"/>
    </row>
    <row r="175">
      <c r="A175" s="23"/>
      <c r="B175" s="19"/>
      <c r="C175" s="52"/>
      <c r="D175" s="53" t="s">
        <v>20</v>
      </c>
      <c r="E175" s="56">
        <v>0.0</v>
      </c>
      <c r="F175" s="59"/>
      <c r="G175" s="207">
        <v>0.0</v>
      </c>
      <c r="H175" s="59"/>
      <c r="I175" s="63">
        <v>0.0</v>
      </c>
      <c r="J175" s="59"/>
      <c r="K175" s="56">
        <v>0.0</v>
      </c>
      <c r="L175" s="59"/>
      <c r="M175" s="56">
        <v>0.0</v>
      </c>
      <c r="N175" s="59"/>
      <c r="O175" s="65">
        <f t="shared" si="7"/>
        <v>0</v>
      </c>
      <c r="P175" s="66"/>
      <c r="Q175" s="19"/>
      <c r="R175" s="35"/>
      <c r="S175" s="6"/>
      <c r="T175" s="6"/>
      <c r="U175" s="6"/>
      <c r="V175" s="6"/>
      <c r="W175" s="6"/>
      <c r="X175" s="6"/>
      <c r="Y175" s="6"/>
      <c r="Z175" s="6"/>
    </row>
    <row r="176">
      <c r="A176" s="68"/>
      <c r="B176" s="19"/>
      <c r="C176" s="52"/>
      <c r="D176" s="53" t="s">
        <v>21</v>
      </c>
      <c r="E176" s="63">
        <f>5428+2976+5096+3660</f>
        <v>17160</v>
      </c>
      <c r="F176" s="59"/>
      <c r="G176" s="73">
        <f>3641</f>
        <v>3641</v>
      </c>
      <c r="H176" s="59"/>
      <c r="I176" s="73">
        <v>0.0</v>
      </c>
      <c r="J176" s="59"/>
      <c r="K176" s="73">
        <v>0.0</v>
      </c>
      <c r="L176" s="59"/>
      <c r="M176" s="63">
        <v>0.0</v>
      </c>
      <c r="N176" s="59"/>
      <c r="O176" s="84">
        <f t="shared" si="7"/>
        <v>20801</v>
      </c>
      <c r="P176" s="66"/>
      <c r="Q176" s="19"/>
      <c r="R176" s="35"/>
      <c r="S176" s="6"/>
      <c r="T176" s="6"/>
      <c r="U176" s="6"/>
      <c r="V176" s="6"/>
      <c r="W176" s="6"/>
      <c r="X176" s="6"/>
      <c r="Y176" s="6"/>
      <c r="Z176" s="6"/>
    </row>
    <row r="177">
      <c r="A177" s="23"/>
      <c r="B177" s="19"/>
      <c r="C177" s="52"/>
      <c r="D177" s="85" t="s">
        <v>22</v>
      </c>
      <c r="E177" s="63">
        <f>680</f>
        <v>680</v>
      </c>
      <c r="F177" s="59"/>
      <c r="G177" s="63">
        <v>0.0</v>
      </c>
      <c r="H177" s="59"/>
      <c r="I177" s="63">
        <v>0.0</v>
      </c>
      <c r="J177" s="59"/>
      <c r="K177" s="63">
        <v>0.0</v>
      </c>
      <c r="L177" s="59"/>
      <c r="M177" s="63">
        <v>0.0</v>
      </c>
      <c r="N177" s="59"/>
      <c r="O177" s="56">
        <f t="shared" si="7"/>
        <v>680</v>
      </c>
      <c r="P177" s="66"/>
      <c r="Q177" s="19"/>
      <c r="R177" s="35"/>
      <c r="S177" s="6"/>
      <c r="T177" s="6"/>
      <c r="U177" s="6"/>
      <c r="V177" s="6"/>
      <c r="W177" s="6"/>
      <c r="X177" s="6"/>
      <c r="Y177" s="6"/>
      <c r="Z177" s="6"/>
    </row>
    <row r="178">
      <c r="A178" s="23"/>
      <c r="B178" s="19"/>
      <c r="C178" s="52"/>
      <c r="D178" s="85" t="s">
        <v>23</v>
      </c>
      <c r="E178" s="63">
        <v>0.0</v>
      </c>
      <c r="F178" s="59"/>
      <c r="G178" s="63">
        <v>0.0</v>
      </c>
      <c r="H178" s="59"/>
      <c r="I178" s="63">
        <v>0.0</v>
      </c>
      <c r="J178" s="59"/>
      <c r="K178" s="63">
        <v>0.0</v>
      </c>
      <c r="L178" s="59"/>
      <c r="M178" s="63">
        <v>0.0</v>
      </c>
      <c r="N178" s="59"/>
      <c r="O178" s="84">
        <f t="shared" si="7"/>
        <v>0</v>
      </c>
      <c r="P178" s="66"/>
      <c r="Q178" s="19"/>
      <c r="R178" s="35"/>
      <c r="S178" s="6"/>
      <c r="T178" s="6"/>
      <c r="U178" s="6"/>
      <c r="V178" s="6"/>
      <c r="W178" s="6"/>
      <c r="X178" s="6"/>
      <c r="Y178" s="6"/>
      <c r="Z178" s="6"/>
    </row>
    <row r="179">
      <c r="A179" s="23"/>
      <c r="B179" s="19"/>
      <c r="C179" s="52"/>
      <c r="D179" s="53" t="s">
        <v>24</v>
      </c>
      <c r="E179" s="63">
        <f>2415/2</f>
        <v>1207.5</v>
      </c>
      <c r="F179" s="59"/>
      <c r="G179" s="63">
        <v>0.0</v>
      </c>
      <c r="H179" s="59"/>
      <c r="I179" s="63">
        <v>0.0</v>
      </c>
      <c r="J179" s="59"/>
      <c r="K179" s="63">
        <v>0.0</v>
      </c>
      <c r="L179" s="59"/>
      <c r="M179" s="63">
        <v>0.0</v>
      </c>
      <c r="N179" s="59"/>
      <c r="O179" s="56">
        <f t="shared" si="7"/>
        <v>1207.5</v>
      </c>
      <c r="P179" s="66"/>
      <c r="Q179" s="19"/>
      <c r="R179" s="35"/>
      <c r="S179" s="6"/>
      <c r="T179" s="6"/>
      <c r="U179" s="6"/>
      <c r="V179" s="6"/>
      <c r="W179" s="6"/>
      <c r="X179" s="6"/>
      <c r="Y179" s="6"/>
      <c r="Z179" s="6"/>
    </row>
    <row r="180">
      <c r="A180" s="23"/>
      <c r="B180" s="19"/>
      <c r="C180" s="52"/>
      <c r="D180" s="53" t="s">
        <v>25</v>
      </c>
      <c r="E180" s="63">
        <f>1779</f>
        <v>1779</v>
      </c>
      <c r="F180" s="59"/>
      <c r="G180" s="63">
        <v>0.0</v>
      </c>
      <c r="H180" s="59"/>
      <c r="I180" s="63">
        <v>0.0</v>
      </c>
      <c r="J180" s="59"/>
      <c r="K180" s="63">
        <v>0.0</v>
      </c>
      <c r="L180" s="59"/>
      <c r="M180" s="63">
        <v>0.0</v>
      </c>
      <c r="N180" s="59"/>
      <c r="O180" s="56">
        <f t="shared" si="7"/>
        <v>1779</v>
      </c>
      <c r="P180" s="66"/>
      <c r="Q180" s="19"/>
      <c r="R180" s="35"/>
      <c r="S180" s="6"/>
      <c r="T180" s="6"/>
      <c r="U180" s="6"/>
      <c r="V180" s="6"/>
      <c r="W180" s="6"/>
      <c r="X180" s="6"/>
      <c r="Y180" s="6"/>
      <c r="Z180" s="6"/>
    </row>
    <row r="181">
      <c r="A181" s="23"/>
      <c r="B181" s="19"/>
      <c r="C181" s="52"/>
      <c r="D181" s="53" t="s">
        <v>26</v>
      </c>
      <c r="E181" s="63">
        <v>0.0</v>
      </c>
      <c r="F181" s="59"/>
      <c r="G181" s="63">
        <v>0.0</v>
      </c>
      <c r="H181" s="59"/>
      <c r="I181" s="63">
        <v>0.0</v>
      </c>
      <c r="J181" s="59"/>
      <c r="K181" s="63">
        <v>0.0</v>
      </c>
      <c r="L181" s="59"/>
      <c r="M181" s="63">
        <v>0.0</v>
      </c>
      <c r="N181" s="59"/>
      <c r="O181" s="56">
        <f t="shared" si="7"/>
        <v>0</v>
      </c>
      <c r="P181" s="66"/>
      <c r="Q181" s="19"/>
      <c r="R181" s="35"/>
      <c r="S181" s="6"/>
      <c r="T181" s="6"/>
      <c r="U181" s="6"/>
      <c r="V181" s="6"/>
      <c r="W181" s="6"/>
      <c r="X181" s="6"/>
      <c r="Y181" s="6"/>
      <c r="Z181" s="6"/>
    </row>
    <row r="182">
      <c r="A182" s="23"/>
      <c r="B182" s="19"/>
      <c r="C182" s="52"/>
      <c r="D182" s="212" t="s">
        <v>27</v>
      </c>
      <c r="E182" s="73">
        <v>0.0</v>
      </c>
      <c r="F182" s="59"/>
      <c r="G182" s="63">
        <v>0.0</v>
      </c>
      <c r="H182" s="59"/>
      <c r="I182" s="63">
        <v>0.0</v>
      </c>
      <c r="J182" s="59"/>
      <c r="K182" s="199">
        <v>0.0</v>
      </c>
      <c r="L182" s="59"/>
      <c r="M182" s="56">
        <v>0.0</v>
      </c>
      <c r="N182" s="59"/>
      <c r="O182" s="84">
        <f t="shared" si="7"/>
        <v>0</v>
      </c>
      <c r="P182" s="66"/>
      <c r="Q182" s="19"/>
      <c r="R182" s="35"/>
      <c r="S182" s="6"/>
      <c r="T182" s="6"/>
      <c r="U182" s="6"/>
      <c r="V182" s="6"/>
      <c r="W182" s="6"/>
      <c r="X182" s="6"/>
      <c r="Y182" s="6"/>
      <c r="Z182" s="6"/>
    </row>
    <row r="183">
      <c r="A183" s="23"/>
      <c r="B183" s="19"/>
      <c r="C183" s="52"/>
      <c r="D183" s="53" t="s">
        <v>28</v>
      </c>
      <c r="E183" s="73">
        <v>0.0</v>
      </c>
      <c r="F183" s="59"/>
      <c r="G183" s="63">
        <v>0.0</v>
      </c>
      <c r="H183" s="59"/>
      <c r="I183" s="73">
        <v>0.0</v>
      </c>
      <c r="J183" s="59"/>
      <c r="K183" s="63">
        <v>0.0</v>
      </c>
      <c r="L183" s="59"/>
      <c r="M183" s="56">
        <v>0.0</v>
      </c>
      <c r="N183" s="59"/>
      <c r="O183" s="65">
        <f t="shared" si="7"/>
        <v>0</v>
      </c>
      <c r="P183" s="66"/>
      <c r="Q183" s="19"/>
      <c r="R183" s="35"/>
      <c r="S183" s="6"/>
      <c r="T183" s="6"/>
      <c r="U183" s="6"/>
      <c r="V183" s="6"/>
      <c r="W183" s="6"/>
      <c r="X183" s="6"/>
      <c r="Y183" s="6"/>
      <c r="Z183" s="6"/>
    </row>
    <row r="184">
      <c r="A184" s="23"/>
      <c r="B184" s="19"/>
      <c r="C184" s="52"/>
      <c r="D184" s="53" t="s">
        <v>29</v>
      </c>
      <c r="E184" s="63">
        <f>3960</f>
        <v>3960</v>
      </c>
      <c r="F184" s="59"/>
      <c r="G184" s="63">
        <f>1180</f>
        <v>1180</v>
      </c>
      <c r="H184" s="59"/>
      <c r="I184" s="63">
        <v>0.0</v>
      </c>
      <c r="J184" s="59"/>
      <c r="K184" s="63">
        <v>0.0</v>
      </c>
      <c r="L184" s="59"/>
      <c r="M184" s="56">
        <v>0.0</v>
      </c>
      <c r="N184" s="59"/>
      <c r="O184" s="56">
        <f t="shared" si="7"/>
        <v>5140</v>
      </c>
      <c r="P184" s="66"/>
      <c r="Q184" s="19"/>
      <c r="R184" s="35"/>
      <c r="S184" s="6"/>
      <c r="T184" s="6"/>
      <c r="U184" s="6"/>
      <c r="V184" s="6"/>
      <c r="W184" s="6"/>
      <c r="X184" s="6"/>
      <c r="Y184" s="6"/>
      <c r="Z184" s="6"/>
    </row>
    <row r="185">
      <c r="A185" s="68"/>
      <c r="B185" s="19"/>
      <c r="C185" s="52"/>
      <c r="D185" s="53" t="s">
        <v>30</v>
      </c>
      <c r="E185" s="63">
        <f>2245+1056</f>
        <v>3301</v>
      </c>
      <c r="F185" s="59"/>
      <c r="G185" s="63">
        <f>8236</f>
        <v>8236</v>
      </c>
      <c r="H185" s="59"/>
      <c r="I185" s="63">
        <v>0.0</v>
      </c>
      <c r="J185" s="59"/>
      <c r="K185" s="63">
        <v>0.0</v>
      </c>
      <c r="L185" s="59"/>
      <c r="M185" s="56">
        <v>0.0</v>
      </c>
      <c r="N185" s="59"/>
      <c r="O185" s="56">
        <f t="shared" si="7"/>
        <v>11537</v>
      </c>
      <c r="P185" s="66"/>
      <c r="Q185" s="19"/>
      <c r="R185" s="35"/>
      <c r="S185" s="6"/>
      <c r="T185" s="6"/>
      <c r="U185" s="6"/>
      <c r="V185" s="6"/>
      <c r="W185" s="6"/>
      <c r="X185" s="6"/>
      <c r="Y185" s="6"/>
      <c r="Z185" s="6"/>
    </row>
    <row r="186">
      <c r="A186" s="23"/>
      <c r="B186" s="19"/>
      <c r="C186" s="52"/>
      <c r="D186" s="212" t="s">
        <v>31</v>
      </c>
      <c r="E186" s="73">
        <f>34007+2415/2</f>
        <v>35214.5</v>
      </c>
      <c r="F186" s="59"/>
      <c r="G186" s="63">
        <v>0.0</v>
      </c>
      <c r="H186" s="59"/>
      <c r="I186" s="63">
        <v>0.0</v>
      </c>
      <c r="J186" s="59"/>
      <c r="K186" s="91">
        <v>0.0</v>
      </c>
      <c r="L186" s="59"/>
      <c r="M186" s="63">
        <v>0.0</v>
      </c>
      <c r="N186" s="59"/>
      <c r="O186" s="185">
        <f t="shared" si="7"/>
        <v>35214.5</v>
      </c>
      <c r="P186" s="66"/>
      <c r="Q186" s="19"/>
      <c r="R186" s="35"/>
      <c r="S186" s="6"/>
      <c r="T186" s="6"/>
      <c r="U186" s="6"/>
      <c r="V186" s="6"/>
      <c r="W186" s="6"/>
      <c r="X186" s="6"/>
      <c r="Y186" s="6"/>
      <c r="Z186" s="6"/>
    </row>
    <row r="187">
      <c r="A187" s="23"/>
      <c r="B187" s="19"/>
      <c r="C187" s="52"/>
      <c r="D187" s="53" t="s">
        <v>32</v>
      </c>
      <c r="E187" s="56">
        <v>0.0</v>
      </c>
      <c r="F187" s="59"/>
      <c r="G187" s="63">
        <v>0.0</v>
      </c>
      <c r="H187" s="59"/>
      <c r="I187" s="63">
        <v>0.0</v>
      </c>
      <c r="J187" s="59"/>
      <c r="K187" s="63">
        <v>0.0</v>
      </c>
      <c r="L187" s="59"/>
      <c r="M187" s="56">
        <v>0.0</v>
      </c>
      <c r="N187" s="59"/>
      <c r="O187" s="56">
        <f t="shared" si="7"/>
        <v>0</v>
      </c>
      <c r="P187" s="66"/>
      <c r="Q187" s="19"/>
      <c r="R187" s="35"/>
      <c r="S187" s="6"/>
      <c r="T187" s="6"/>
      <c r="U187" s="6"/>
      <c r="V187" s="6"/>
      <c r="W187" s="6"/>
      <c r="X187" s="6"/>
      <c r="Y187" s="6"/>
      <c r="Z187" s="6"/>
    </row>
    <row r="188">
      <c r="A188" s="23"/>
      <c r="B188" s="19"/>
      <c r="C188" s="52"/>
      <c r="D188" s="53" t="s">
        <v>33</v>
      </c>
      <c r="E188" s="63">
        <f>1300</f>
        <v>1300</v>
      </c>
      <c r="F188" s="59"/>
      <c r="G188" s="63">
        <v>0.0</v>
      </c>
      <c r="H188" s="59"/>
      <c r="I188" s="63">
        <v>0.0</v>
      </c>
      <c r="J188" s="59"/>
      <c r="K188" s="63">
        <v>0.0</v>
      </c>
      <c r="L188" s="59"/>
      <c r="M188" s="63">
        <v>0.0</v>
      </c>
      <c r="N188" s="59"/>
      <c r="O188" s="56">
        <f t="shared" si="7"/>
        <v>1300</v>
      </c>
      <c r="P188" s="66"/>
      <c r="Q188" s="19"/>
      <c r="R188" s="35"/>
      <c r="S188" s="6"/>
      <c r="T188" s="6"/>
      <c r="U188" s="6"/>
      <c r="V188" s="6"/>
      <c r="W188" s="6"/>
      <c r="X188" s="6"/>
      <c r="Y188" s="6"/>
      <c r="Z188" s="6"/>
    </row>
    <row r="189">
      <c r="A189" s="36"/>
      <c r="B189" s="38"/>
      <c r="C189" s="97"/>
      <c r="D189" s="99" t="s">
        <v>34</v>
      </c>
      <c r="E189" s="101">
        <f>SUM(E190:F192)</f>
        <v>1056795</v>
      </c>
      <c r="F189" s="59"/>
      <c r="G189" s="101">
        <f>SUM(G190:G192)</f>
        <v>0</v>
      </c>
      <c r="H189" s="59"/>
      <c r="I189" s="101">
        <f>SUM(I190:I192)</f>
        <v>0</v>
      </c>
      <c r="J189" s="59"/>
      <c r="K189" s="101">
        <f>SUM(K190:K192)</f>
        <v>0</v>
      </c>
      <c r="L189" s="59"/>
      <c r="M189" s="101">
        <f>SUM(M190:M192)</f>
        <v>0</v>
      </c>
      <c r="N189" s="59"/>
      <c r="O189" s="101">
        <f t="shared" si="7"/>
        <v>1056795</v>
      </c>
      <c r="P189" s="97"/>
      <c r="Q189" s="38"/>
      <c r="R189" s="48"/>
      <c r="S189" s="6"/>
      <c r="T189" s="6"/>
      <c r="U189" s="6"/>
      <c r="V189" s="6"/>
      <c r="W189" s="6"/>
      <c r="X189" s="6"/>
      <c r="Y189" s="6"/>
      <c r="Z189" s="6"/>
    </row>
    <row r="190">
      <c r="A190" s="23"/>
      <c r="B190" s="19"/>
      <c r="C190" s="106"/>
      <c r="D190" s="108" t="s">
        <v>35</v>
      </c>
      <c r="E190" s="63">
        <v>1013000.0</v>
      </c>
      <c r="F190" s="59"/>
      <c r="G190" s="63">
        <v>0.0</v>
      </c>
      <c r="H190" s="59"/>
      <c r="I190" s="56">
        <v>0.0</v>
      </c>
      <c r="J190" s="59"/>
      <c r="K190" s="56">
        <v>0.0</v>
      </c>
      <c r="L190" s="59"/>
      <c r="M190" s="56">
        <v>0.0</v>
      </c>
      <c r="N190" s="59"/>
      <c r="O190" s="56">
        <f t="shared" si="7"/>
        <v>1013000</v>
      </c>
      <c r="P190" s="66"/>
      <c r="Q190" s="19"/>
      <c r="R190" s="35"/>
      <c r="S190" s="6"/>
      <c r="T190" s="6"/>
      <c r="U190" s="6"/>
      <c r="V190" s="6"/>
      <c r="W190" s="6"/>
      <c r="X190" s="6"/>
      <c r="Y190" s="6"/>
      <c r="Z190" s="6"/>
    </row>
    <row r="191">
      <c r="A191" s="23"/>
      <c r="B191" s="19"/>
      <c r="C191" s="106"/>
      <c r="D191" s="108" t="s">
        <v>37</v>
      </c>
      <c r="E191" s="56">
        <v>0.0</v>
      </c>
      <c r="F191" s="59"/>
      <c r="G191" s="56">
        <v>0.0</v>
      </c>
      <c r="H191" s="59"/>
      <c r="I191" s="56">
        <v>0.0</v>
      </c>
      <c r="J191" s="59"/>
      <c r="K191" s="56">
        <v>0.0</v>
      </c>
      <c r="L191" s="59"/>
      <c r="M191" s="56">
        <v>0.0</v>
      </c>
      <c r="N191" s="59"/>
      <c r="O191" s="56">
        <f t="shared" si="7"/>
        <v>0</v>
      </c>
      <c r="P191" s="66"/>
      <c r="Q191" s="19"/>
      <c r="R191" s="35"/>
      <c r="S191" s="6"/>
      <c r="T191" s="6"/>
      <c r="U191" s="6"/>
      <c r="V191" s="6"/>
      <c r="W191" s="6"/>
      <c r="X191" s="6"/>
      <c r="Y191" s="6"/>
      <c r="Z191" s="6"/>
    </row>
    <row r="192">
      <c r="A192" s="23"/>
      <c r="B192" s="19"/>
      <c r="C192" s="117"/>
      <c r="D192" s="118" t="s">
        <v>33</v>
      </c>
      <c r="E192" s="119">
        <f>43795</f>
        <v>43795</v>
      </c>
      <c r="F192" s="120"/>
      <c r="G192" s="119">
        <v>0.0</v>
      </c>
      <c r="H192" s="120"/>
      <c r="I192" s="119">
        <v>0.0</v>
      </c>
      <c r="J192" s="120"/>
      <c r="K192" s="119">
        <v>0.0</v>
      </c>
      <c r="L192" s="120"/>
      <c r="M192" s="121">
        <v>0.0</v>
      </c>
      <c r="N192" s="120"/>
      <c r="O192" s="121">
        <f t="shared" si="7"/>
        <v>43795</v>
      </c>
      <c r="P192" s="122"/>
      <c r="Q192" s="19"/>
      <c r="R192" s="35"/>
      <c r="S192" s="6"/>
      <c r="T192" s="6"/>
      <c r="U192" s="6"/>
      <c r="V192" s="6"/>
      <c r="W192" s="6"/>
      <c r="X192" s="6"/>
      <c r="Y192" s="6"/>
      <c r="Z192" s="6"/>
    </row>
    <row r="193">
      <c r="A193" s="23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6"/>
      <c r="T193" s="6"/>
      <c r="U193" s="6"/>
      <c r="V193" s="6"/>
      <c r="W193" s="6"/>
      <c r="X193" s="6"/>
      <c r="Y193" s="6"/>
      <c r="Z193" s="6"/>
    </row>
    <row r="194">
      <c r="A194" s="12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6"/>
      <c r="P194" s="116"/>
      <c r="Q194" s="116"/>
      <c r="R194" s="19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</sheetData>
  <mergeCells count="858">
    <mergeCell ref="L2:M2"/>
    <mergeCell ref="N2:O2"/>
    <mergeCell ref="P2:P3"/>
    <mergeCell ref="Q2:Q3"/>
    <mergeCell ref="R2:R3"/>
    <mergeCell ref="L3:M3"/>
    <mergeCell ref="N3:O3"/>
    <mergeCell ref="A1:F1"/>
    <mergeCell ref="I1:J1"/>
    <mergeCell ref="L1:M1"/>
    <mergeCell ref="E2:F2"/>
    <mergeCell ref="G2:H3"/>
    <mergeCell ref="I2:J2"/>
    <mergeCell ref="K2:K3"/>
    <mergeCell ref="I3:J3"/>
    <mergeCell ref="K6:L6"/>
    <mergeCell ref="M6:N6"/>
    <mergeCell ref="A3:C3"/>
    <mergeCell ref="D3:F3"/>
    <mergeCell ref="A4:C4"/>
    <mergeCell ref="C5:P5"/>
    <mergeCell ref="E6:F6"/>
    <mergeCell ref="G6:H6"/>
    <mergeCell ref="I6:J6"/>
    <mergeCell ref="I8:J8"/>
    <mergeCell ref="K8:L8"/>
    <mergeCell ref="G10:H10"/>
    <mergeCell ref="I10:J10"/>
    <mergeCell ref="K10:L10"/>
    <mergeCell ref="M10:N10"/>
    <mergeCell ref="E7:F7"/>
    <mergeCell ref="G7:H7"/>
    <mergeCell ref="I7:J7"/>
    <mergeCell ref="K7:L7"/>
    <mergeCell ref="M7:N7"/>
    <mergeCell ref="G8:H8"/>
    <mergeCell ref="M8:N8"/>
    <mergeCell ref="E8:F8"/>
    <mergeCell ref="E9:F9"/>
    <mergeCell ref="G9:H9"/>
    <mergeCell ref="I9:J9"/>
    <mergeCell ref="K9:L9"/>
    <mergeCell ref="M9:N9"/>
    <mergeCell ref="E10:F10"/>
    <mergeCell ref="I12:J12"/>
    <mergeCell ref="K12:L12"/>
    <mergeCell ref="E11:F11"/>
    <mergeCell ref="G11:H11"/>
    <mergeCell ref="I11:J11"/>
    <mergeCell ref="K11:L11"/>
    <mergeCell ref="M11:N11"/>
    <mergeCell ref="G12:H12"/>
    <mergeCell ref="M12:N12"/>
    <mergeCell ref="K14:L14"/>
    <mergeCell ref="M14:N14"/>
    <mergeCell ref="K15:L15"/>
    <mergeCell ref="M15:N15"/>
    <mergeCell ref="K16:L16"/>
    <mergeCell ref="M16:N16"/>
    <mergeCell ref="E12:F12"/>
    <mergeCell ref="E13:F13"/>
    <mergeCell ref="G13:H13"/>
    <mergeCell ref="I13:J13"/>
    <mergeCell ref="K13:L13"/>
    <mergeCell ref="M13:N13"/>
    <mergeCell ref="E14:F14"/>
    <mergeCell ref="G14:H14"/>
    <mergeCell ref="I14:J14"/>
    <mergeCell ref="E15:F15"/>
    <mergeCell ref="G15:H15"/>
    <mergeCell ref="I15:J15"/>
    <mergeCell ref="G16:H16"/>
    <mergeCell ref="I16:J16"/>
    <mergeCell ref="K18:L18"/>
    <mergeCell ref="M18:N18"/>
    <mergeCell ref="K19:L19"/>
    <mergeCell ref="M19:N19"/>
    <mergeCell ref="K20:L20"/>
    <mergeCell ref="M20:N20"/>
    <mergeCell ref="E16:F16"/>
    <mergeCell ref="E17:F17"/>
    <mergeCell ref="G17:H17"/>
    <mergeCell ref="I17:J17"/>
    <mergeCell ref="K17:L17"/>
    <mergeCell ref="M17:N17"/>
    <mergeCell ref="E18:F18"/>
    <mergeCell ref="G18:H18"/>
    <mergeCell ref="I18:J18"/>
    <mergeCell ref="E19:F19"/>
    <mergeCell ref="G19:H19"/>
    <mergeCell ref="I19:J19"/>
    <mergeCell ref="G20:H20"/>
    <mergeCell ref="I20:J20"/>
    <mergeCell ref="K22:L22"/>
    <mergeCell ref="M22:N22"/>
    <mergeCell ref="K23:L23"/>
    <mergeCell ref="M23:N23"/>
    <mergeCell ref="K24:L24"/>
    <mergeCell ref="M24:N24"/>
    <mergeCell ref="E20:F20"/>
    <mergeCell ref="E21:F21"/>
    <mergeCell ref="G21:H21"/>
    <mergeCell ref="I21:J21"/>
    <mergeCell ref="K21:L21"/>
    <mergeCell ref="M21:N21"/>
    <mergeCell ref="E22:F22"/>
    <mergeCell ref="G22:H22"/>
    <mergeCell ref="I22:J22"/>
    <mergeCell ref="E23:F23"/>
    <mergeCell ref="G23:H23"/>
    <mergeCell ref="I23:J23"/>
    <mergeCell ref="G24:H24"/>
    <mergeCell ref="I24:J24"/>
    <mergeCell ref="G26:H26"/>
    <mergeCell ref="I26:J26"/>
    <mergeCell ref="I36:J36"/>
    <mergeCell ref="K36:L36"/>
    <mergeCell ref="E35:F35"/>
    <mergeCell ref="G35:H35"/>
    <mergeCell ref="I35:J35"/>
    <mergeCell ref="K35:L35"/>
    <mergeCell ref="M35:N35"/>
    <mergeCell ref="G36:H36"/>
    <mergeCell ref="M36:N36"/>
    <mergeCell ref="E24:F24"/>
    <mergeCell ref="E25:F25"/>
    <mergeCell ref="G25:H25"/>
    <mergeCell ref="I25:J25"/>
    <mergeCell ref="K25:L25"/>
    <mergeCell ref="M25:N25"/>
    <mergeCell ref="E26:F26"/>
    <mergeCell ref="I30:J30"/>
    <mergeCell ref="K30:K31"/>
    <mergeCell ref="I31:J31"/>
    <mergeCell ref="L30:M30"/>
    <mergeCell ref="N30:O30"/>
    <mergeCell ref="P30:P31"/>
    <mergeCell ref="Q30:Q31"/>
    <mergeCell ref="R30:R31"/>
    <mergeCell ref="L31:M31"/>
    <mergeCell ref="N31:O31"/>
    <mergeCell ref="K26:L26"/>
    <mergeCell ref="M26:N26"/>
    <mergeCell ref="A29:F29"/>
    <mergeCell ref="I29:J29"/>
    <mergeCell ref="L29:M29"/>
    <mergeCell ref="E30:F30"/>
    <mergeCell ref="G30:H31"/>
    <mergeCell ref="K34:L34"/>
    <mergeCell ref="M34:N34"/>
    <mergeCell ref="A31:C31"/>
    <mergeCell ref="D31:F31"/>
    <mergeCell ref="A32:C32"/>
    <mergeCell ref="C33:P33"/>
    <mergeCell ref="E34:F34"/>
    <mergeCell ref="G34:H34"/>
    <mergeCell ref="I34:J34"/>
    <mergeCell ref="G38:H38"/>
    <mergeCell ref="I38:J38"/>
    <mergeCell ref="K38:L38"/>
    <mergeCell ref="M38:N38"/>
    <mergeCell ref="E36:F36"/>
    <mergeCell ref="E37:F37"/>
    <mergeCell ref="G37:H37"/>
    <mergeCell ref="I37:J37"/>
    <mergeCell ref="K37:L37"/>
    <mergeCell ref="M37:N37"/>
    <mergeCell ref="E38:F38"/>
    <mergeCell ref="I40:J40"/>
    <mergeCell ref="K40:L40"/>
    <mergeCell ref="E39:F39"/>
    <mergeCell ref="G39:H39"/>
    <mergeCell ref="I39:J39"/>
    <mergeCell ref="K39:L39"/>
    <mergeCell ref="M39:N39"/>
    <mergeCell ref="G40:H40"/>
    <mergeCell ref="M40:N40"/>
    <mergeCell ref="K42:L42"/>
    <mergeCell ref="M42:N42"/>
    <mergeCell ref="K43:L43"/>
    <mergeCell ref="M43:N43"/>
    <mergeCell ref="K44:L44"/>
    <mergeCell ref="M44:N44"/>
    <mergeCell ref="E40:F40"/>
    <mergeCell ref="E41:F41"/>
    <mergeCell ref="G41:H41"/>
    <mergeCell ref="I41:J41"/>
    <mergeCell ref="K41:L41"/>
    <mergeCell ref="M41:N41"/>
    <mergeCell ref="E42:F42"/>
    <mergeCell ref="G42:H42"/>
    <mergeCell ref="I42:J42"/>
    <mergeCell ref="E43:F43"/>
    <mergeCell ref="G43:H43"/>
    <mergeCell ref="I43:J43"/>
    <mergeCell ref="G44:H44"/>
    <mergeCell ref="I44:J44"/>
    <mergeCell ref="K46:L46"/>
    <mergeCell ref="M46:N46"/>
    <mergeCell ref="K47:L47"/>
    <mergeCell ref="M47:N47"/>
    <mergeCell ref="K48:L48"/>
    <mergeCell ref="M48:N48"/>
    <mergeCell ref="E44:F44"/>
    <mergeCell ref="E45:F45"/>
    <mergeCell ref="G45:H45"/>
    <mergeCell ref="I45:J45"/>
    <mergeCell ref="K45:L45"/>
    <mergeCell ref="M45:N45"/>
    <mergeCell ref="E46:F46"/>
    <mergeCell ref="G46:H46"/>
    <mergeCell ref="I46:J46"/>
    <mergeCell ref="E47:F47"/>
    <mergeCell ref="G47:H47"/>
    <mergeCell ref="I47:J47"/>
    <mergeCell ref="G48:H48"/>
    <mergeCell ref="I48:J48"/>
    <mergeCell ref="K50:L50"/>
    <mergeCell ref="M50:N50"/>
    <mergeCell ref="K51:L51"/>
    <mergeCell ref="M51:N51"/>
    <mergeCell ref="K52:L52"/>
    <mergeCell ref="M52:N52"/>
    <mergeCell ref="E48:F48"/>
    <mergeCell ref="E49:F49"/>
    <mergeCell ref="G49:H49"/>
    <mergeCell ref="I49:J49"/>
    <mergeCell ref="K49:L49"/>
    <mergeCell ref="M49:N49"/>
    <mergeCell ref="E50:F50"/>
    <mergeCell ref="G50:H50"/>
    <mergeCell ref="I50:J50"/>
    <mergeCell ref="E51:F51"/>
    <mergeCell ref="G51:H51"/>
    <mergeCell ref="I51:J51"/>
    <mergeCell ref="G52:H52"/>
    <mergeCell ref="I52:J52"/>
    <mergeCell ref="G54:H54"/>
    <mergeCell ref="I54:J54"/>
    <mergeCell ref="I64:J64"/>
    <mergeCell ref="K64:L64"/>
    <mergeCell ref="E63:F63"/>
    <mergeCell ref="G63:H63"/>
    <mergeCell ref="I63:J63"/>
    <mergeCell ref="K63:L63"/>
    <mergeCell ref="M63:N63"/>
    <mergeCell ref="G64:H64"/>
    <mergeCell ref="M64:N64"/>
    <mergeCell ref="E52:F52"/>
    <mergeCell ref="E53:F53"/>
    <mergeCell ref="G53:H53"/>
    <mergeCell ref="I53:J53"/>
    <mergeCell ref="K53:L53"/>
    <mergeCell ref="M53:N53"/>
    <mergeCell ref="E54:F54"/>
    <mergeCell ref="I58:J58"/>
    <mergeCell ref="K58:K59"/>
    <mergeCell ref="I59:J59"/>
    <mergeCell ref="L58:M58"/>
    <mergeCell ref="N58:O58"/>
    <mergeCell ref="P58:P59"/>
    <mergeCell ref="Q58:Q59"/>
    <mergeCell ref="R58:R59"/>
    <mergeCell ref="L59:M59"/>
    <mergeCell ref="N59:O59"/>
    <mergeCell ref="K54:L54"/>
    <mergeCell ref="M54:N54"/>
    <mergeCell ref="A57:F57"/>
    <mergeCell ref="I57:J57"/>
    <mergeCell ref="L57:M57"/>
    <mergeCell ref="E58:F58"/>
    <mergeCell ref="G58:H59"/>
    <mergeCell ref="K62:L62"/>
    <mergeCell ref="M62:N62"/>
    <mergeCell ref="A59:C59"/>
    <mergeCell ref="D59:F59"/>
    <mergeCell ref="A60:C60"/>
    <mergeCell ref="C61:P61"/>
    <mergeCell ref="E62:F62"/>
    <mergeCell ref="G62:H62"/>
    <mergeCell ref="I62:J62"/>
    <mergeCell ref="G66:H66"/>
    <mergeCell ref="I66:J66"/>
    <mergeCell ref="K66:L66"/>
    <mergeCell ref="M66:N66"/>
    <mergeCell ref="E64:F64"/>
    <mergeCell ref="E65:F65"/>
    <mergeCell ref="G65:H65"/>
    <mergeCell ref="I65:J65"/>
    <mergeCell ref="K65:L65"/>
    <mergeCell ref="M65:N65"/>
    <mergeCell ref="E66:F66"/>
    <mergeCell ref="I68:J68"/>
    <mergeCell ref="K68:L68"/>
    <mergeCell ref="E67:F67"/>
    <mergeCell ref="G67:H67"/>
    <mergeCell ref="I67:J67"/>
    <mergeCell ref="K67:L67"/>
    <mergeCell ref="M67:N67"/>
    <mergeCell ref="G68:H68"/>
    <mergeCell ref="M68:N68"/>
    <mergeCell ref="K70:L70"/>
    <mergeCell ref="M70:N70"/>
    <mergeCell ref="K71:L71"/>
    <mergeCell ref="M71:N71"/>
    <mergeCell ref="K72:L72"/>
    <mergeCell ref="M72:N72"/>
    <mergeCell ref="E68:F68"/>
    <mergeCell ref="E69:F69"/>
    <mergeCell ref="G69:H69"/>
    <mergeCell ref="I69:J69"/>
    <mergeCell ref="K69:L69"/>
    <mergeCell ref="M69:N69"/>
    <mergeCell ref="E70:F70"/>
    <mergeCell ref="G70:H70"/>
    <mergeCell ref="I70:J70"/>
    <mergeCell ref="E71:F71"/>
    <mergeCell ref="G71:H71"/>
    <mergeCell ref="I71:J71"/>
    <mergeCell ref="G72:H72"/>
    <mergeCell ref="I72:J72"/>
    <mergeCell ref="K74:L74"/>
    <mergeCell ref="M74:N74"/>
    <mergeCell ref="K75:L75"/>
    <mergeCell ref="M75:N75"/>
    <mergeCell ref="K76:L76"/>
    <mergeCell ref="M76:N76"/>
    <mergeCell ref="E72:F72"/>
    <mergeCell ref="E73:F73"/>
    <mergeCell ref="G73:H73"/>
    <mergeCell ref="I73:J73"/>
    <mergeCell ref="K73:L73"/>
    <mergeCell ref="M73:N73"/>
    <mergeCell ref="E74:F74"/>
    <mergeCell ref="G74:H74"/>
    <mergeCell ref="I74:J74"/>
    <mergeCell ref="E75:F75"/>
    <mergeCell ref="G75:H75"/>
    <mergeCell ref="I75:J75"/>
    <mergeCell ref="G76:H76"/>
    <mergeCell ref="I76:J76"/>
    <mergeCell ref="K78:L78"/>
    <mergeCell ref="M78:N78"/>
    <mergeCell ref="K79:L79"/>
    <mergeCell ref="M79:N79"/>
    <mergeCell ref="K80:L80"/>
    <mergeCell ref="M80:N80"/>
    <mergeCell ref="E76:F76"/>
    <mergeCell ref="E77:F77"/>
    <mergeCell ref="G77:H77"/>
    <mergeCell ref="I77:J77"/>
    <mergeCell ref="K77:L77"/>
    <mergeCell ref="M77:N77"/>
    <mergeCell ref="E78:F78"/>
    <mergeCell ref="G78:H78"/>
    <mergeCell ref="I78:J78"/>
    <mergeCell ref="E79:F79"/>
    <mergeCell ref="G79:H79"/>
    <mergeCell ref="I79:J79"/>
    <mergeCell ref="G80:H80"/>
    <mergeCell ref="I80:J80"/>
    <mergeCell ref="G82:H82"/>
    <mergeCell ref="I82:J82"/>
    <mergeCell ref="I92:J92"/>
    <mergeCell ref="K92:L92"/>
    <mergeCell ref="E91:F91"/>
    <mergeCell ref="G91:H91"/>
    <mergeCell ref="I91:J91"/>
    <mergeCell ref="K91:L91"/>
    <mergeCell ref="M91:N91"/>
    <mergeCell ref="G92:H92"/>
    <mergeCell ref="M92:N92"/>
    <mergeCell ref="E80:F80"/>
    <mergeCell ref="E81:F81"/>
    <mergeCell ref="G81:H81"/>
    <mergeCell ref="I81:J81"/>
    <mergeCell ref="K81:L81"/>
    <mergeCell ref="M81:N81"/>
    <mergeCell ref="E82:F82"/>
    <mergeCell ref="I86:J86"/>
    <mergeCell ref="K86:K87"/>
    <mergeCell ref="I87:J87"/>
    <mergeCell ref="L86:M86"/>
    <mergeCell ref="N86:O86"/>
    <mergeCell ref="P86:P87"/>
    <mergeCell ref="Q86:Q87"/>
    <mergeCell ref="R86:R87"/>
    <mergeCell ref="L87:M87"/>
    <mergeCell ref="N87:O87"/>
    <mergeCell ref="K82:L82"/>
    <mergeCell ref="M82:N82"/>
    <mergeCell ref="A85:F85"/>
    <mergeCell ref="I85:J85"/>
    <mergeCell ref="L85:M85"/>
    <mergeCell ref="E86:F86"/>
    <mergeCell ref="G86:H87"/>
    <mergeCell ref="K90:L90"/>
    <mergeCell ref="M90:N90"/>
    <mergeCell ref="A87:C87"/>
    <mergeCell ref="D87:F87"/>
    <mergeCell ref="A88:C88"/>
    <mergeCell ref="C89:P89"/>
    <mergeCell ref="E90:F90"/>
    <mergeCell ref="G90:H90"/>
    <mergeCell ref="I90:J90"/>
    <mergeCell ref="G94:H94"/>
    <mergeCell ref="I94:J94"/>
    <mergeCell ref="K94:L94"/>
    <mergeCell ref="M94:N94"/>
    <mergeCell ref="E92:F92"/>
    <mergeCell ref="E93:F93"/>
    <mergeCell ref="G93:H93"/>
    <mergeCell ref="I93:J93"/>
    <mergeCell ref="K93:L93"/>
    <mergeCell ref="M93:N93"/>
    <mergeCell ref="E94:F94"/>
    <mergeCell ref="I96:J96"/>
    <mergeCell ref="K96:L96"/>
    <mergeCell ref="E95:F95"/>
    <mergeCell ref="G95:H95"/>
    <mergeCell ref="I95:J95"/>
    <mergeCell ref="K95:L95"/>
    <mergeCell ref="M95:N95"/>
    <mergeCell ref="G96:H96"/>
    <mergeCell ref="M96:N96"/>
    <mergeCell ref="K98:L98"/>
    <mergeCell ref="M98:N98"/>
    <mergeCell ref="K99:L99"/>
    <mergeCell ref="M99:N99"/>
    <mergeCell ref="K100:L100"/>
    <mergeCell ref="M100:N100"/>
    <mergeCell ref="E96:F96"/>
    <mergeCell ref="E97:F97"/>
    <mergeCell ref="G97:H97"/>
    <mergeCell ref="I97:J97"/>
    <mergeCell ref="K97:L97"/>
    <mergeCell ref="M97:N97"/>
    <mergeCell ref="E98:F98"/>
    <mergeCell ref="G98:H98"/>
    <mergeCell ref="I98:J98"/>
    <mergeCell ref="E99:F99"/>
    <mergeCell ref="G99:H99"/>
    <mergeCell ref="I99:J99"/>
    <mergeCell ref="G100:H100"/>
    <mergeCell ref="I100:J100"/>
    <mergeCell ref="K150:L150"/>
    <mergeCell ref="M150:N150"/>
    <mergeCell ref="E148:F148"/>
    <mergeCell ref="E149:F149"/>
    <mergeCell ref="G149:H149"/>
    <mergeCell ref="I149:J149"/>
    <mergeCell ref="K149:L149"/>
    <mergeCell ref="M149:N149"/>
    <mergeCell ref="E150:F150"/>
    <mergeCell ref="I152:J152"/>
    <mergeCell ref="K152:L152"/>
    <mergeCell ref="E151:F151"/>
    <mergeCell ref="G151:H151"/>
    <mergeCell ref="I151:J151"/>
    <mergeCell ref="K151:L151"/>
    <mergeCell ref="M151:N151"/>
    <mergeCell ref="G152:H152"/>
    <mergeCell ref="M152:N152"/>
    <mergeCell ref="K154:L154"/>
    <mergeCell ref="M154:N154"/>
    <mergeCell ref="K155:L155"/>
    <mergeCell ref="M155:N155"/>
    <mergeCell ref="K156:L156"/>
    <mergeCell ref="M156:N156"/>
    <mergeCell ref="E152:F152"/>
    <mergeCell ref="E153:F153"/>
    <mergeCell ref="G153:H153"/>
    <mergeCell ref="I153:J153"/>
    <mergeCell ref="K153:L153"/>
    <mergeCell ref="M153:N153"/>
    <mergeCell ref="E154:F154"/>
    <mergeCell ref="G154:H154"/>
    <mergeCell ref="I154:J154"/>
    <mergeCell ref="E155:F155"/>
    <mergeCell ref="G155:H155"/>
    <mergeCell ref="I155:J155"/>
    <mergeCell ref="G156:H156"/>
    <mergeCell ref="I156:J156"/>
    <mergeCell ref="K158:L158"/>
    <mergeCell ref="M158:N158"/>
    <mergeCell ref="K159:L159"/>
    <mergeCell ref="M159:N159"/>
    <mergeCell ref="K160:L160"/>
    <mergeCell ref="M160:N160"/>
    <mergeCell ref="E156:F156"/>
    <mergeCell ref="E157:F157"/>
    <mergeCell ref="G157:H157"/>
    <mergeCell ref="I157:J157"/>
    <mergeCell ref="K157:L157"/>
    <mergeCell ref="M157:N157"/>
    <mergeCell ref="E158:F158"/>
    <mergeCell ref="G158:H158"/>
    <mergeCell ref="I158:J158"/>
    <mergeCell ref="E159:F159"/>
    <mergeCell ref="G159:H159"/>
    <mergeCell ref="I159:J159"/>
    <mergeCell ref="G160:H160"/>
    <mergeCell ref="I160:J160"/>
    <mergeCell ref="K162:L162"/>
    <mergeCell ref="M162:N162"/>
    <mergeCell ref="K163:L163"/>
    <mergeCell ref="M163:N163"/>
    <mergeCell ref="K164:L164"/>
    <mergeCell ref="M164:N164"/>
    <mergeCell ref="E160:F160"/>
    <mergeCell ref="E161:F161"/>
    <mergeCell ref="G161:H161"/>
    <mergeCell ref="I161:J161"/>
    <mergeCell ref="K161:L161"/>
    <mergeCell ref="M161:N161"/>
    <mergeCell ref="E162:F162"/>
    <mergeCell ref="G162:H162"/>
    <mergeCell ref="I162:J162"/>
    <mergeCell ref="E163:F163"/>
    <mergeCell ref="G163:H163"/>
    <mergeCell ref="I163:J163"/>
    <mergeCell ref="G164:H164"/>
    <mergeCell ref="I164:J164"/>
    <mergeCell ref="N169:O169"/>
    <mergeCell ref="P169:P170"/>
    <mergeCell ref="Q169:Q170"/>
    <mergeCell ref="R169:R170"/>
    <mergeCell ref="N170:O170"/>
    <mergeCell ref="E164:F164"/>
    <mergeCell ref="E165:F165"/>
    <mergeCell ref="G165:H165"/>
    <mergeCell ref="I165:J165"/>
    <mergeCell ref="K165:L165"/>
    <mergeCell ref="M165:N165"/>
    <mergeCell ref="A168:F168"/>
    <mergeCell ref="L169:M169"/>
    <mergeCell ref="L170:M170"/>
    <mergeCell ref="I168:J168"/>
    <mergeCell ref="L168:M168"/>
    <mergeCell ref="E169:F169"/>
    <mergeCell ref="G169:H170"/>
    <mergeCell ref="I169:J169"/>
    <mergeCell ref="K169:K170"/>
    <mergeCell ref="I170:J170"/>
    <mergeCell ref="K173:L173"/>
    <mergeCell ref="M173:N173"/>
    <mergeCell ref="A170:C170"/>
    <mergeCell ref="D170:F170"/>
    <mergeCell ref="A171:C171"/>
    <mergeCell ref="C172:P172"/>
    <mergeCell ref="E173:F173"/>
    <mergeCell ref="G173:H173"/>
    <mergeCell ref="I173:J173"/>
    <mergeCell ref="I175:J175"/>
    <mergeCell ref="K175:L175"/>
    <mergeCell ref="G177:H177"/>
    <mergeCell ref="I177:J177"/>
    <mergeCell ref="K181:L181"/>
    <mergeCell ref="M181:N181"/>
    <mergeCell ref="K182:L182"/>
    <mergeCell ref="M182:N182"/>
    <mergeCell ref="K183:L183"/>
    <mergeCell ref="M183:N183"/>
    <mergeCell ref="G181:H181"/>
    <mergeCell ref="I181:J181"/>
    <mergeCell ref="E182:F182"/>
    <mergeCell ref="G182:H182"/>
    <mergeCell ref="I182:J182"/>
    <mergeCell ref="G183:H183"/>
    <mergeCell ref="I183:J183"/>
    <mergeCell ref="K185:L185"/>
    <mergeCell ref="M185:N185"/>
    <mergeCell ref="E183:F183"/>
    <mergeCell ref="E184:F184"/>
    <mergeCell ref="G184:H184"/>
    <mergeCell ref="I184:J184"/>
    <mergeCell ref="K184:L184"/>
    <mergeCell ref="M184:N184"/>
    <mergeCell ref="E185:F185"/>
    <mergeCell ref="I188:J188"/>
    <mergeCell ref="K188:L188"/>
    <mergeCell ref="E187:F187"/>
    <mergeCell ref="G187:H187"/>
    <mergeCell ref="I187:J187"/>
    <mergeCell ref="K187:L187"/>
    <mergeCell ref="M187:N187"/>
    <mergeCell ref="G188:H188"/>
    <mergeCell ref="M188:N188"/>
    <mergeCell ref="G190:H190"/>
    <mergeCell ref="I190:J190"/>
    <mergeCell ref="E191:F191"/>
    <mergeCell ref="G191:H191"/>
    <mergeCell ref="I191:J191"/>
    <mergeCell ref="E192:F192"/>
    <mergeCell ref="G192:H192"/>
    <mergeCell ref="I192:J192"/>
    <mergeCell ref="K190:L190"/>
    <mergeCell ref="M190:N190"/>
    <mergeCell ref="K191:L191"/>
    <mergeCell ref="M191:N191"/>
    <mergeCell ref="K192:L192"/>
    <mergeCell ref="M192:N192"/>
    <mergeCell ref="E188:F188"/>
    <mergeCell ref="E189:F189"/>
    <mergeCell ref="G189:H189"/>
    <mergeCell ref="I189:J189"/>
    <mergeCell ref="K189:L189"/>
    <mergeCell ref="M189:N189"/>
    <mergeCell ref="E190:F190"/>
    <mergeCell ref="E174:F174"/>
    <mergeCell ref="G174:H174"/>
    <mergeCell ref="I174:J174"/>
    <mergeCell ref="K174:L174"/>
    <mergeCell ref="M174:N174"/>
    <mergeCell ref="G175:H175"/>
    <mergeCell ref="M175:N175"/>
    <mergeCell ref="K177:L177"/>
    <mergeCell ref="M177:N177"/>
    <mergeCell ref="E175:F175"/>
    <mergeCell ref="E176:F176"/>
    <mergeCell ref="G176:H176"/>
    <mergeCell ref="I176:J176"/>
    <mergeCell ref="K176:L176"/>
    <mergeCell ref="M176:N176"/>
    <mergeCell ref="E177:F177"/>
    <mergeCell ref="I179:J179"/>
    <mergeCell ref="K179:L179"/>
    <mergeCell ref="E178:F178"/>
    <mergeCell ref="G178:H178"/>
    <mergeCell ref="I178:J178"/>
    <mergeCell ref="K178:L178"/>
    <mergeCell ref="M178:N178"/>
    <mergeCell ref="G179:H179"/>
    <mergeCell ref="M179:N179"/>
    <mergeCell ref="E179:F179"/>
    <mergeCell ref="E180:F180"/>
    <mergeCell ref="G180:H180"/>
    <mergeCell ref="I180:J180"/>
    <mergeCell ref="K180:L180"/>
    <mergeCell ref="M180:N180"/>
    <mergeCell ref="E181:F181"/>
    <mergeCell ref="G185:H185"/>
    <mergeCell ref="I185:J185"/>
    <mergeCell ref="E186:F186"/>
    <mergeCell ref="G186:H186"/>
    <mergeCell ref="I186:J186"/>
    <mergeCell ref="K186:L186"/>
    <mergeCell ref="M186:N186"/>
    <mergeCell ref="K102:L102"/>
    <mergeCell ref="M102:N102"/>
    <mergeCell ref="K103:L103"/>
    <mergeCell ref="M103:N103"/>
    <mergeCell ref="K104:L104"/>
    <mergeCell ref="M104:N104"/>
    <mergeCell ref="E100:F100"/>
    <mergeCell ref="E101:F101"/>
    <mergeCell ref="G101:H101"/>
    <mergeCell ref="I101:J101"/>
    <mergeCell ref="K101:L101"/>
    <mergeCell ref="M101:N101"/>
    <mergeCell ref="E102:F102"/>
    <mergeCell ref="G102:H102"/>
    <mergeCell ref="I102:J102"/>
    <mergeCell ref="E103:F103"/>
    <mergeCell ref="G103:H103"/>
    <mergeCell ref="I103:J103"/>
    <mergeCell ref="G104:H104"/>
    <mergeCell ref="I104:J104"/>
    <mergeCell ref="K106:L106"/>
    <mergeCell ref="M106:N106"/>
    <mergeCell ref="K107:L107"/>
    <mergeCell ref="M107:N107"/>
    <mergeCell ref="K108:L108"/>
    <mergeCell ref="M108:N108"/>
    <mergeCell ref="E104:F104"/>
    <mergeCell ref="E105:F105"/>
    <mergeCell ref="G105:H105"/>
    <mergeCell ref="I105:J105"/>
    <mergeCell ref="K105:L105"/>
    <mergeCell ref="M105:N105"/>
    <mergeCell ref="E106:F106"/>
    <mergeCell ref="G106:H106"/>
    <mergeCell ref="I106:J106"/>
    <mergeCell ref="E107:F107"/>
    <mergeCell ref="G107:H107"/>
    <mergeCell ref="I107:J107"/>
    <mergeCell ref="G108:H108"/>
    <mergeCell ref="I108:J108"/>
    <mergeCell ref="G110:H110"/>
    <mergeCell ref="I110:J110"/>
    <mergeCell ref="I120:J120"/>
    <mergeCell ref="K120:L120"/>
    <mergeCell ref="E119:F119"/>
    <mergeCell ref="G119:H119"/>
    <mergeCell ref="I119:J119"/>
    <mergeCell ref="K119:L119"/>
    <mergeCell ref="M119:N119"/>
    <mergeCell ref="G120:H120"/>
    <mergeCell ref="M120:N120"/>
    <mergeCell ref="E108:F108"/>
    <mergeCell ref="E109:F109"/>
    <mergeCell ref="G109:H109"/>
    <mergeCell ref="I109:J109"/>
    <mergeCell ref="K109:L109"/>
    <mergeCell ref="M109:N109"/>
    <mergeCell ref="E110:F110"/>
    <mergeCell ref="I114:J114"/>
    <mergeCell ref="K114:K115"/>
    <mergeCell ref="I115:J115"/>
    <mergeCell ref="L114:M114"/>
    <mergeCell ref="N114:O114"/>
    <mergeCell ref="P114:P115"/>
    <mergeCell ref="Q114:Q115"/>
    <mergeCell ref="R114:R115"/>
    <mergeCell ref="L115:M115"/>
    <mergeCell ref="N115:O115"/>
    <mergeCell ref="K110:L110"/>
    <mergeCell ref="M110:N110"/>
    <mergeCell ref="A113:F113"/>
    <mergeCell ref="I113:J113"/>
    <mergeCell ref="L113:M113"/>
    <mergeCell ref="E114:F114"/>
    <mergeCell ref="G114:H115"/>
    <mergeCell ref="K118:L118"/>
    <mergeCell ref="M118:N118"/>
    <mergeCell ref="A115:C115"/>
    <mergeCell ref="D115:F115"/>
    <mergeCell ref="A116:C116"/>
    <mergeCell ref="C117:P117"/>
    <mergeCell ref="E118:F118"/>
    <mergeCell ref="G118:H118"/>
    <mergeCell ref="I118:J118"/>
    <mergeCell ref="G122:H122"/>
    <mergeCell ref="I122:J122"/>
    <mergeCell ref="K122:L122"/>
    <mergeCell ref="M122:N122"/>
    <mergeCell ref="E120:F120"/>
    <mergeCell ref="E121:F121"/>
    <mergeCell ref="G121:H121"/>
    <mergeCell ref="I121:J121"/>
    <mergeCell ref="K121:L121"/>
    <mergeCell ref="M121:N121"/>
    <mergeCell ref="E122:F122"/>
    <mergeCell ref="I124:J124"/>
    <mergeCell ref="K124:L124"/>
    <mergeCell ref="E123:F123"/>
    <mergeCell ref="G123:H123"/>
    <mergeCell ref="I123:J123"/>
    <mergeCell ref="K123:L123"/>
    <mergeCell ref="M123:N123"/>
    <mergeCell ref="G124:H124"/>
    <mergeCell ref="M124:N124"/>
    <mergeCell ref="K126:L126"/>
    <mergeCell ref="M126:N126"/>
    <mergeCell ref="K127:L127"/>
    <mergeCell ref="M127:N127"/>
    <mergeCell ref="K128:L128"/>
    <mergeCell ref="M128:N128"/>
    <mergeCell ref="E124:F124"/>
    <mergeCell ref="E125:F125"/>
    <mergeCell ref="G125:H125"/>
    <mergeCell ref="I125:J125"/>
    <mergeCell ref="K125:L125"/>
    <mergeCell ref="M125:N125"/>
    <mergeCell ref="E126:F126"/>
    <mergeCell ref="G126:H126"/>
    <mergeCell ref="I126:J126"/>
    <mergeCell ref="E127:F127"/>
    <mergeCell ref="G127:H127"/>
    <mergeCell ref="I127:J127"/>
    <mergeCell ref="G128:H128"/>
    <mergeCell ref="I128:J128"/>
    <mergeCell ref="K130:L130"/>
    <mergeCell ref="M130:N130"/>
    <mergeCell ref="K131:L131"/>
    <mergeCell ref="M131:N131"/>
    <mergeCell ref="K132:L132"/>
    <mergeCell ref="M132:N132"/>
    <mergeCell ref="E128:F128"/>
    <mergeCell ref="E129:F129"/>
    <mergeCell ref="G129:H129"/>
    <mergeCell ref="I129:J129"/>
    <mergeCell ref="K129:L129"/>
    <mergeCell ref="M129:N129"/>
    <mergeCell ref="E130:F130"/>
    <mergeCell ref="G130:H130"/>
    <mergeCell ref="I130:J130"/>
    <mergeCell ref="E131:F131"/>
    <mergeCell ref="G131:H131"/>
    <mergeCell ref="I131:J131"/>
    <mergeCell ref="G132:H132"/>
    <mergeCell ref="I132:J132"/>
    <mergeCell ref="K134:L134"/>
    <mergeCell ref="M134:N134"/>
    <mergeCell ref="K135:L135"/>
    <mergeCell ref="M135:N135"/>
    <mergeCell ref="K136:L136"/>
    <mergeCell ref="M136:N136"/>
    <mergeCell ref="E132:F132"/>
    <mergeCell ref="E133:F133"/>
    <mergeCell ref="G133:H133"/>
    <mergeCell ref="I133:J133"/>
    <mergeCell ref="K133:L133"/>
    <mergeCell ref="M133:N133"/>
    <mergeCell ref="E134:F134"/>
    <mergeCell ref="G134:H134"/>
    <mergeCell ref="I134:J134"/>
    <mergeCell ref="E135:F135"/>
    <mergeCell ref="G135:H135"/>
    <mergeCell ref="I135:J135"/>
    <mergeCell ref="G136:H136"/>
    <mergeCell ref="I136:J136"/>
    <mergeCell ref="G138:H138"/>
    <mergeCell ref="I138:J138"/>
    <mergeCell ref="I148:J148"/>
    <mergeCell ref="K148:L148"/>
    <mergeCell ref="E147:F147"/>
    <mergeCell ref="G147:H147"/>
    <mergeCell ref="I147:J147"/>
    <mergeCell ref="K147:L147"/>
    <mergeCell ref="M147:N147"/>
    <mergeCell ref="G148:H148"/>
    <mergeCell ref="M148:N148"/>
    <mergeCell ref="E136:F136"/>
    <mergeCell ref="E137:F137"/>
    <mergeCell ref="G137:H137"/>
    <mergeCell ref="I137:J137"/>
    <mergeCell ref="K137:L137"/>
    <mergeCell ref="M137:N137"/>
    <mergeCell ref="E138:F138"/>
    <mergeCell ref="I142:J142"/>
    <mergeCell ref="K142:K143"/>
    <mergeCell ref="I143:J143"/>
    <mergeCell ref="L142:M142"/>
    <mergeCell ref="N142:O142"/>
    <mergeCell ref="P142:P143"/>
    <mergeCell ref="Q142:Q143"/>
    <mergeCell ref="R142:R143"/>
    <mergeCell ref="L143:M143"/>
    <mergeCell ref="N143:O143"/>
    <mergeCell ref="K138:L138"/>
    <mergeCell ref="M138:N138"/>
    <mergeCell ref="A141:F141"/>
    <mergeCell ref="I141:J141"/>
    <mergeCell ref="L141:M141"/>
    <mergeCell ref="E142:F142"/>
    <mergeCell ref="G142:H143"/>
    <mergeCell ref="K146:L146"/>
    <mergeCell ref="M146:N146"/>
    <mergeCell ref="A143:C143"/>
    <mergeCell ref="D143:F143"/>
    <mergeCell ref="A144:C144"/>
    <mergeCell ref="C145:P145"/>
    <mergeCell ref="E146:F146"/>
    <mergeCell ref="G146:H146"/>
    <mergeCell ref="I146:J146"/>
    <mergeCell ref="G150:H150"/>
    <mergeCell ref="I150:J150"/>
  </mergeCells>
  <conditionalFormatting sqref="C7:P21 C35:P49 C63:P77 C91:P105 C119:P133 C147:P161 C174:P188">
    <cfRule type="cellIs" dxfId="0" priority="1" operator="greaterThan">
      <formula>50000</formula>
    </cfRule>
  </conditionalFormatting>
  <conditionalFormatting sqref="C22:P27 C50:P55 C78:P83 C106:P111 C134:P139 C162:P166 C189:P193">
    <cfRule type="cellIs" dxfId="2" priority="2" operator="greaterThanOrEqual">
      <formula>50000</formula>
    </cfRule>
  </conditionalFormatting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2.43"/>
    <col customWidth="1" min="3" max="3" width="3.71"/>
    <col customWidth="1" min="4" max="4" width="23.43"/>
    <col customWidth="1" min="5" max="5" width="9.71"/>
    <col customWidth="1" min="6" max="6" width="6.43"/>
    <col customWidth="1" min="7" max="7" width="4.86"/>
    <col customWidth="1" min="9" max="9" width="6.43"/>
    <col customWidth="1" min="11" max="11" width="4.43"/>
    <col customWidth="1" min="12" max="12" width="16.43"/>
    <col customWidth="1" min="13" max="13" width="16.86"/>
    <col customWidth="1" min="14" max="14" width="5.29"/>
    <col customWidth="1" min="15" max="15" width="16.71"/>
    <col customWidth="1" min="16" max="16" width="4.14"/>
  </cols>
  <sheetData>
    <row r="1">
      <c r="A1" s="10"/>
      <c r="B1" s="12"/>
      <c r="C1" s="13"/>
      <c r="D1" s="13"/>
      <c r="E1" s="13"/>
      <c r="F1" s="5"/>
      <c r="G1" s="5"/>
      <c r="H1" s="3" t="str">
        <f t="array" ref="H1">(INDIRECT("G" &amp; ROW() + 1)/INDIRECT("C" &amp; ROW() + 1))</f>
        <v>#DIV/0!</v>
      </c>
      <c r="I1" s="7"/>
      <c r="J1" s="5"/>
      <c r="K1" s="7"/>
      <c r="L1" s="4">
        <f t="array" ref="L1">(1 - INDIRECT("I" &amp; ROW()))</f>
        <v>1</v>
      </c>
      <c r="M1" s="5"/>
      <c r="N1" s="5"/>
      <c r="O1" s="5"/>
      <c r="P1" s="5"/>
      <c r="Q1" s="5"/>
    </row>
    <row r="2">
      <c r="A2" s="26"/>
      <c r="B2" s="1"/>
      <c r="C2" s="8"/>
      <c r="D2" s="8">
        <f>O22</f>
        <v>1015325</v>
      </c>
      <c r="F2" s="5"/>
      <c r="H2" s="27">
        <f>O7</f>
        <v>632019</v>
      </c>
      <c r="J2" s="5"/>
      <c r="K2" s="32">
        <f>D2-H2</f>
        <v>383306</v>
      </c>
      <c r="M2" s="34"/>
      <c r="O2" s="5"/>
      <c r="P2" s="5"/>
      <c r="Q2" s="5"/>
    </row>
    <row r="3">
      <c r="A3" s="37"/>
      <c r="B3" s="37"/>
      <c r="C3" s="40" t="s">
        <v>1</v>
      </c>
      <c r="D3" s="42"/>
      <c r="E3" s="42"/>
      <c r="F3" s="42"/>
      <c r="G3" s="42"/>
      <c r="H3" s="40" t="s">
        <v>2</v>
      </c>
      <c r="I3" s="42"/>
      <c r="J3" s="18"/>
      <c r="K3" s="40" t="s">
        <v>3</v>
      </c>
      <c r="L3" s="42"/>
      <c r="M3" s="44"/>
      <c r="N3" s="42"/>
      <c r="O3" s="18"/>
      <c r="P3" s="18"/>
      <c r="Q3" s="18"/>
    </row>
    <row r="4">
      <c r="A4" s="19"/>
      <c r="B4" s="19"/>
      <c r="C4" s="19"/>
      <c r="D4" s="19"/>
      <c r="E4" s="19" t="s">
        <v>4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27.0" customHeight="1">
      <c r="A5" s="19"/>
      <c r="B5" s="19"/>
      <c r="C5" s="46" t="s">
        <v>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</row>
    <row r="6" ht="18.0" customHeight="1">
      <c r="A6" s="19"/>
      <c r="B6" s="19"/>
      <c r="C6" s="29"/>
      <c r="D6" s="49" t="s">
        <v>6</v>
      </c>
      <c r="E6" s="51" t="s">
        <v>15</v>
      </c>
      <c r="G6" s="51" t="s">
        <v>16</v>
      </c>
      <c r="I6" s="51" t="s">
        <v>17</v>
      </c>
      <c r="K6" s="51" t="s">
        <v>18</v>
      </c>
      <c r="M6" s="51" t="s">
        <v>19</v>
      </c>
      <c r="N6" s="29"/>
      <c r="O6" s="51" t="s">
        <v>12</v>
      </c>
      <c r="P6" s="29"/>
      <c r="Q6" s="35"/>
    </row>
    <row r="7" ht="18.0" customHeight="1">
      <c r="A7" s="19"/>
      <c r="B7" s="19"/>
      <c r="C7" s="55"/>
      <c r="D7" s="58" t="s">
        <v>13</v>
      </c>
      <c r="E7" s="60">
        <f>SUM(E8:F21)</f>
        <v>54600</v>
      </c>
      <c r="F7" s="62"/>
      <c r="G7" s="60">
        <f>SUM(G8:H21)</f>
        <v>272095</v>
      </c>
      <c r="H7" s="62"/>
      <c r="I7" s="60">
        <f>SUM(I8:J21)</f>
        <v>158103</v>
      </c>
      <c r="J7" s="62"/>
      <c r="K7" s="60">
        <f>SUM(K8:L21)</f>
        <v>105832</v>
      </c>
      <c r="L7" s="62"/>
      <c r="M7" s="60">
        <f>SUM(M8:M21)</f>
        <v>41389</v>
      </c>
      <c r="N7" s="69"/>
      <c r="O7" s="60">
        <f t="shared" ref="O7:O26" si="1">SUM(E7:N7)</f>
        <v>632019</v>
      </c>
      <c r="P7" s="69"/>
      <c r="Q7" s="35"/>
    </row>
    <row r="8" ht="18.0" customHeight="1">
      <c r="A8" s="19"/>
      <c r="B8" s="19"/>
      <c r="C8" s="70"/>
      <c r="D8" s="71" t="s">
        <v>20</v>
      </c>
      <c r="E8" s="74">
        <v>0.0</v>
      </c>
      <c r="F8" s="75"/>
      <c r="G8" s="76">
        <f>(279660-83600)</f>
        <v>196060</v>
      </c>
      <c r="H8" s="75"/>
      <c r="I8" s="78">
        <v>3770.0</v>
      </c>
      <c r="J8" s="75"/>
      <c r="K8" s="74">
        <v>0.0</v>
      </c>
      <c r="L8" s="75"/>
      <c r="M8" s="74">
        <v>0.0</v>
      </c>
      <c r="N8" s="80"/>
      <c r="O8" s="82">
        <f t="shared" si="1"/>
        <v>199830</v>
      </c>
      <c r="P8" s="80"/>
      <c r="Q8" s="35"/>
    </row>
    <row r="9" ht="18.0" customHeight="1">
      <c r="A9" s="19"/>
      <c r="B9" s="19"/>
      <c r="C9" s="70"/>
      <c r="D9" s="71" t="s">
        <v>21</v>
      </c>
      <c r="E9" s="78">
        <f>3227+5607+1898+900+4555</f>
        <v>16187</v>
      </c>
      <c r="F9" s="75"/>
      <c r="G9" s="76">
        <f>499+549+300+4343+600+398+2084+843+1677</f>
        <v>11293</v>
      </c>
      <c r="H9" s="75"/>
      <c r="I9" s="76">
        <f>2647+1693+6771+759+600+1497+2631+4292+4570</f>
        <v>25460</v>
      </c>
      <c r="J9" s="75"/>
      <c r="K9" s="76">
        <f>310+2062+600+3150+389+2640+4523+3726</f>
        <v>17400</v>
      </c>
      <c r="L9" s="75"/>
      <c r="M9" s="76">
        <f>3144+2917+2466+340+1219</f>
        <v>10086</v>
      </c>
      <c r="N9" s="80"/>
      <c r="O9" s="82">
        <f t="shared" si="1"/>
        <v>80426</v>
      </c>
      <c r="P9" s="80"/>
      <c r="Q9" s="35"/>
    </row>
    <row r="10" ht="18.0" customHeight="1">
      <c r="A10" s="19"/>
      <c r="B10" s="19"/>
      <c r="C10" s="70"/>
      <c r="D10" s="86" t="s">
        <v>22</v>
      </c>
      <c r="E10" s="78">
        <f>3547+870+1998</f>
        <v>6415</v>
      </c>
      <c r="F10" s="75"/>
      <c r="G10" s="78">
        <f>810+1600</f>
        <v>2410</v>
      </c>
      <c r="H10" s="75"/>
      <c r="I10" s="78">
        <v>0.0</v>
      </c>
      <c r="J10" s="75"/>
      <c r="K10" s="78">
        <f>1219+2573+1599</f>
        <v>5391</v>
      </c>
      <c r="L10" s="75"/>
      <c r="M10" s="74">
        <v>0.0</v>
      </c>
      <c r="N10" s="80"/>
      <c r="O10" s="74">
        <f t="shared" si="1"/>
        <v>14216</v>
      </c>
      <c r="P10" s="80"/>
      <c r="Q10" s="35"/>
    </row>
    <row r="11" ht="18.0" customHeight="1">
      <c r="A11" s="19"/>
      <c r="B11" s="19"/>
      <c r="C11" s="70"/>
      <c r="D11" s="86" t="s">
        <v>23</v>
      </c>
      <c r="E11" s="74">
        <f>(16150/2)</f>
        <v>8075</v>
      </c>
      <c r="F11" s="75"/>
      <c r="G11" s="78">
        <f>(4360/2)+700</f>
        <v>2880</v>
      </c>
      <c r="H11" s="75"/>
      <c r="I11" s="78">
        <f>4180+5601/2+10880</f>
        <v>17860.5</v>
      </c>
      <c r="J11" s="75"/>
      <c r="K11" s="78">
        <f>700</f>
        <v>700</v>
      </c>
      <c r="L11" s="75"/>
      <c r="M11" s="74">
        <v>0.0</v>
      </c>
      <c r="N11" s="80"/>
      <c r="O11" s="82">
        <f t="shared" si="1"/>
        <v>29515.5</v>
      </c>
      <c r="P11" s="80"/>
      <c r="Q11" s="35"/>
    </row>
    <row r="12" ht="18.0" customHeight="1">
      <c r="A12" s="19"/>
      <c r="B12" s="19"/>
      <c r="C12" s="70"/>
      <c r="D12" s="71" t="s">
        <v>24</v>
      </c>
      <c r="E12" s="78">
        <f>1109+1070+1150</f>
        <v>3329</v>
      </c>
      <c r="F12" s="75"/>
      <c r="G12" s="78">
        <f>2300/2+900+955</f>
        <v>3005</v>
      </c>
      <c r="H12" s="75"/>
      <c r="I12" s="78">
        <f>800+400+900+790</f>
        <v>2890</v>
      </c>
      <c r="J12" s="75"/>
      <c r="K12" s="78">
        <f>1150+1150+1000+990</f>
        <v>4290</v>
      </c>
      <c r="L12" s="75"/>
      <c r="M12" s="78">
        <v>1270.0</v>
      </c>
      <c r="N12" s="80"/>
      <c r="O12" s="74">
        <f t="shared" si="1"/>
        <v>14784</v>
      </c>
      <c r="P12" s="80"/>
      <c r="Q12" s="35"/>
    </row>
    <row r="13" ht="18.0" customHeight="1">
      <c r="A13" s="19"/>
      <c r="B13" s="19"/>
      <c r="C13" s="70"/>
      <c r="D13" s="71" t="s">
        <v>25</v>
      </c>
      <c r="E13" s="74">
        <v>0.0</v>
      </c>
      <c r="F13" s="75"/>
      <c r="G13" s="74">
        <v>0.0</v>
      </c>
      <c r="H13" s="75"/>
      <c r="I13" s="74">
        <v>0.0</v>
      </c>
      <c r="J13" s="75"/>
      <c r="K13" s="74">
        <v>0.0</v>
      </c>
      <c r="L13" s="75"/>
      <c r="M13" s="78">
        <v>0.0</v>
      </c>
      <c r="N13" s="80"/>
      <c r="O13" s="74">
        <f t="shared" si="1"/>
        <v>0</v>
      </c>
      <c r="P13" s="80"/>
      <c r="Q13" s="35"/>
    </row>
    <row r="14" ht="18.0" customHeight="1">
      <c r="A14" s="19"/>
      <c r="B14" s="19"/>
      <c r="C14" s="70"/>
      <c r="D14" s="71" t="s">
        <v>26</v>
      </c>
      <c r="E14" s="74">
        <v>0.0</v>
      </c>
      <c r="F14" s="75"/>
      <c r="G14" s="78">
        <v>0.0</v>
      </c>
      <c r="H14" s="75"/>
      <c r="I14" s="74">
        <v>0.0</v>
      </c>
      <c r="J14" s="75"/>
      <c r="K14" s="78">
        <v>33528.0</v>
      </c>
      <c r="L14" s="75"/>
      <c r="M14" s="78">
        <v>360.0</v>
      </c>
      <c r="N14" s="80"/>
      <c r="O14" s="74">
        <f t="shared" si="1"/>
        <v>33888</v>
      </c>
      <c r="P14" s="80"/>
      <c r="Q14" s="35"/>
    </row>
    <row r="15" ht="18.0" customHeight="1">
      <c r="A15" s="19"/>
      <c r="B15" s="19"/>
      <c r="C15" s="70"/>
      <c r="D15" s="71" t="s">
        <v>27</v>
      </c>
      <c r="E15" s="76">
        <v>6995.0</v>
      </c>
      <c r="F15" s="75"/>
      <c r="G15" s="78">
        <f>2295+8980</f>
        <v>11275</v>
      </c>
      <c r="H15" s="75"/>
      <c r="I15" s="78">
        <v>1295.0</v>
      </c>
      <c r="J15" s="75"/>
      <c r="K15" s="76">
        <v>0.0</v>
      </c>
      <c r="L15" s="75"/>
      <c r="M15" s="74">
        <v>0.0</v>
      </c>
      <c r="N15" s="80"/>
      <c r="O15" s="82">
        <f t="shared" si="1"/>
        <v>19565</v>
      </c>
      <c r="P15" s="80"/>
      <c r="Q15" s="35"/>
    </row>
    <row r="16" ht="18.0" customHeight="1">
      <c r="A16" s="19"/>
      <c r="B16" s="19"/>
      <c r="C16" s="70"/>
      <c r="D16" s="71" t="s">
        <v>28</v>
      </c>
      <c r="E16" s="76">
        <v>0.0</v>
      </c>
      <c r="F16" s="75"/>
      <c r="G16" s="76">
        <v>37314.0</v>
      </c>
      <c r="H16" s="75"/>
      <c r="I16" s="76">
        <v>0.0</v>
      </c>
      <c r="J16" s="75"/>
      <c r="K16" s="74">
        <v>0.0</v>
      </c>
      <c r="L16" s="75"/>
      <c r="M16" s="78">
        <v>26403.0</v>
      </c>
      <c r="N16" s="80"/>
      <c r="O16" s="82">
        <f t="shared" si="1"/>
        <v>63717</v>
      </c>
      <c r="P16" s="80"/>
      <c r="Q16" s="35"/>
    </row>
    <row r="17" ht="18.0" customHeight="1">
      <c r="A17" s="19"/>
      <c r="B17" s="19"/>
      <c r="C17" s="70"/>
      <c r="D17" s="71" t="s">
        <v>29</v>
      </c>
      <c r="E17" s="74">
        <v>0.0</v>
      </c>
      <c r="F17" s="75"/>
      <c r="G17" s="78">
        <v>0.0</v>
      </c>
      <c r="H17" s="75"/>
      <c r="I17" s="78">
        <v>8950.0</v>
      </c>
      <c r="J17" s="75"/>
      <c r="K17" s="74">
        <v>0.0</v>
      </c>
      <c r="L17" s="75"/>
      <c r="M17" s="74">
        <v>0.0</v>
      </c>
      <c r="N17" s="80"/>
      <c r="O17" s="74">
        <f t="shared" si="1"/>
        <v>8950</v>
      </c>
      <c r="P17" s="80"/>
      <c r="Q17" s="35"/>
    </row>
    <row r="18" ht="18.0" customHeight="1">
      <c r="A18" s="19"/>
      <c r="B18" s="19"/>
      <c r="C18" s="70"/>
      <c r="D18" s="71" t="s">
        <v>30</v>
      </c>
      <c r="E18" s="78">
        <v>2245.0</v>
      </c>
      <c r="F18" s="75"/>
      <c r="G18" s="78">
        <v>0.0</v>
      </c>
      <c r="H18" s="75"/>
      <c r="I18" s="78">
        <v>3596.0</v>
      </c>
      <c r="J18" s="75"/>
      <c r="K18" s="74">
        <v>0.0</v>
      </c>
      <c r="L18" s="75"/>
      <c r="M18" s="74">
        <v>0.0</v>
      </c>
      <c r="N18" s="80"/>
      <c r="O18" s="74">
        <f t="shared" si="1"/>
        <v>5841</v>
      </c>
      <c r="P18" s="80"/>
      <c r="Q18" s="35"/>
    </row>
    <row r="19" ht="18.0" customHeight="1">
      <c r="A19" s="19"/>
      <c r="B19" s="19"/>
      <c r="C19" s="70"/>
      <c r="D19" s="90" t="s">
        <v>31</v>
      </c>
      <c r="E19" s="76">
        <f>1109+1070+(16150/2)</f>
        <v>10254</v>
      </c>
      <c r="F19" s="75"/>
      <c r="G19" s="78">
        <f>(4360/2)+2300/2+900+955</f>
        <v>5185</v>
      </c>
      <c r="H19" s="75"/>
      <c r="I19" s="78">
        <f>15000+40096+33385+800+5601/2+900</f>
        <v>92981.5</v>
      </c>
      <c r="J19" s="75"/>
      <c r="K19" s="76">
        <f>41633+1000+990</f>
        <v>43623</v>
      </c>
      <c r="L19" s="75"/>
      <c r="M19" s="78">
        <v>1270.0</v>
      </c>
      <c r="N19" s="80"/>
      <c r="O19" s="96">
        <f t="shared" si="1"/>
        <v>153313.5</v>
      </c>
      <c r="P19" s="80"/>
      <c r="Q19" s="35"/>
    </row>
    <row r="20" ht="18.0" customHeight="1">
      <c r="A20" s="19"/>
      <c r="B20" s="19"/>
      <c r="C20" s="70"/>
      <c r="D20" s="71" t="s">
        <v>32</v>
      </c>
      <c r="E20" s="74">
        <v>0.0</v>
      </c>
      <c r="F20" s="75"/>
      <c r="G20" s="74">
        <v>0.0</v>
      </c>
      <c r="H20" s="75"/>
      <c r="I20" s="74">
        <v>0.0</v>
      </c>
      <c r="J20" s="75"/>
      <c r="K20" s="74">
        <v>0.0</v>
      </c>
      <c r="L20" s="75"/>
      <c r="M20" s="74">
        <v>0.0</v>
      </c>
      <c r="N20" s="80"/>
      <c r="O20" s="74">
        <f t="shared" si="1"/>
        <v>0</v>
      </c>
      <c r="P20" s="80"/>
      <c r="Q20" s="35"/>
    </row>
    <row r="21" ht="18.0" customHeight="1">
      <c r="A21" s="19"/>
      <c r="B21" s="19"/>
      <c r="C21" s="70"/>
      <c r="D21" s="71" t="s">
        <v>33</v>
      </c>
      <c r="E21" s="78">
        <v>1100.0</v>
      </c>
      <c r="F21" s="75"/>
      <c r="G21" s="78">
        <f>1573+1100</f>
        <v>2673</v>
      </c>
      <c r="H21" s="75"/>
      <c r="I21" s="78">
        <f>1100+200</f>
        <v>1300</v>
      </c>
      <c r="J21" s="75"/>
      <c r="K21" s="78">
        <v>900.0</v>
      </c>
      <c r="L21" s="75"/>
      <c r="M21" s="78">
        <v>2000.0</v>
      </c>
      <c r="N21" s="80"/>
      <c r="O21" s="74">
        <f t="shared" si="1"/>
        <v>7973</v>
      </c>
      <c r="P21" s="80"/>
      <c r="Q21" s="35"/>
    </row>
    <row r="22" ht="18.0" customHeight="1">
      <c r="A22" s="19"/>
      <c r="B22" s="19"/>
      <c r="C22" s="103"/>
      <c r="D22" s="105" t="s">
        <v>34</v>
      </c>
      <c r="E22" s="107">
        <f>SUM(E23:F26)</f>
        <v>46990</v>
      </c>
      <c r="F22" s="75"/>
      <c r="G22" s="107">
        <f>SUM(G23:G26)</f>
        <v>944335</v>
      </c>
      <c r="H22" s="75"/>
      <c r="I22" s="107">
        <f>SUM(I23:I26)</f>
        <v>9000</v>
      </c>
      <c r="J22" s="75"/>
      <c r="K22" s="107">
        <f>SUM(K23:K26)</f>
        <v>15000</v>
      </c>
      <c r="L22" s="75"/>
      <c r="M22" s="107">
        <f>SUM(M23:M26)</f>
        <v>0</v>
      </c>
      <c r="N22" s="103"/>
      <c r="O22" s="107">
        <f t="shared" si="1"/>
        <v>1015325</v>
      </c>
      <c r="P22" s="103"/>
      <c r="Q22" s="35"/>
    </row>
    <row r="23" ht="18.0" customHeight="1">
      <c r="A23" s="19"/>
      <c r="B23" s="19"/>
      <c r="C23" s="98"/>
      <c r="D23" s="71" t="s">
        <v>35</v>
      </c>
      <c r="E23" s="78">
        <v>0.0</v>
      </c>
      <c r="F23" s="75"/>
      <c r="G23" s="78">
        <v>944335.0</v>
      </c>
      <c r="H23" s="75"/>
      <c r="I23" s="80"/>
      <c r="J23" s="74">
        <v>0.0</v>
      </c>
      <c r="K23" s="74">
        <v>0.0</v>
      </c>
      <c r="L23" s="75"/>
      <c r="M23" s="74">
        <v>0.0</v>
      </c>
      <c r="N23" s="80"/>
      <c r="O23" s="74">
        <f t="shared" si="1"/>
        <v>944335</v>
      </c>
      <c r="P23" s="80"/>
      <c r="Q23" s="35"/>
    </row>
    <row r="24" ht="18.0" customHeight="1">
      <c r="A24" s="19"/>
      <c r="B24" s="19"/>
      <c r="C24" s="98"/>
      <c r="D24" s="71" t="s">
        <v>36</v>
      </c>
      <c r="E24" s="74">
        <v>0.0</v>
      </c>
      <c r="F24" s="75"/>
      <c r="G24" s="80"/>
      <c r="H24" s="74">
        <v>0.0</v>
      </c>
      <c r="I24" s="80"/>
      <c r="J24" s="74">
        <v>0.0</v>
      </c>
      <c r="K24" s="80"/>
      <c r="L24" s="74">
        <v>0.0</v>
      </c>
      <c r="M24" s="74">
        <v>0.0</v>
      </c>
      <c r="N24" s="80"/>
      <c r="O24" s="74">
        <f t="shared" si="1"/>
        <v>0</v>
      </c>
      <c r="P24" s="80"/>
      <c r="Q24" s="35"/>
    </row>
    <row r="25" ht="18.0" customHeight="1">
      <c r="A25" s="19"/>
      <c r="B25" s="19"/>
      <c r="C25" s="98"/>
      <c r="D25" s="71" t="s">
        <v>37</v>
      </c>
      <c r="E25" s="74">
        <v>0.0</v>
      </c>
      <c r="F25" s="75"/>
      <c r="G25" s="74">
        <v>0.0</v>
      </c>
      <c r="H25" s="75"/>
      <c r="I25" s="78">
        <v>0.0</v>
      </c>
      <c r="J25" s="75"/>
      <c r="K25" s="74">
        <v>0.0</v>
      </c>
      <c r="L25" s="75"/>
      <c r="M25" s="74">
        <v>0.0</v>
      </c>
      <c r="N25" s="80"/>
      <c r="O25" s="74">
        <f t="shared" si="1"/>
        <v>0</v>
      </c>
      <c r="P25" s="80"/>
      <c r="Q25" s="35"/>
    </row>
    <row r="26" ht="18.0" customHeight="1">
      <c r="A26" s="19"/>
      <c r="B26" s="19"/>
      <c r="C26" s="109"/>
      <c r="D26" s="124" t="s">
        <v>33</v>
      </c>
      <c r="E26" s="126">
        <f>20000+26990</f>
        <v>46990</v>
      </c>
      <c r="F26" s="112"/>
      <c r="G26" s="127">
        <v>0.0</v>
      </c>
      <c r="H26" s="112"/>
      <c r="I26" s="126">
        <v>9000.0</v>
      </c>
      <c r="J26" s="112"/>
      <c r="K26" s="126">
        <v>15000.0</v>
      </c>
      <c r="L26" s="112"/>
      <c r="M26" s="127">
        <v>0.0</v>
      </c>
      <c r="N26" s="114"/>
      <c r="O26" s="127">
        <f t="shared" si="1"/>
        <v>70990</v>
      </c>
      <c r="P26" s="114"/>
      <c r="Q26" s="35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6"/>
      <c r="O28" s="116"/>
      <c r="P28" s="116"/>
      <c r="Q28" s="19"/>
    </row>
    <row r="29">
      <c r="A29" s="10"/>
      <c r="B29" s="12"/>
      <c r="C29" s="13"/>
      <c r="D29" s="13"/>
      <c r="E29" s="13"/>
      <c r="F29" s="5"/>
      <c r="G29" s="5"/>
      <c r="H29" s="3" t="str">
        <f t="array" ref="H29">(INDIRECT("I" &amp; ROW() + 1)/INDIRECT("E" &amp; ROW() + 1))</f>
        <v>#DIV/0!</v>
      </c>
      <c r="I29" s="7"/>
      <c r="J29" s="5"/>
      <c r="K29" s="7"/>
      <c r="L29" s="4">
        <f t="array" ref="L29">(1 - INDIRECT("I" &amp; ROW()))</f>
        <v>1</v>
      </c>
      <c r="M29" s="5"/>
      <c r="N29" s="5"/>
      <c r="O29" s="5"/>
      <c r="P29" s="5"/>
      <c r="Q29" s="5"/>
    </row>
    <row r="30">
      <c r="A30" s="21"/>
      <c r="B30" s="22"/>
      <c r="C30" s="13"/>
      <c r="D30" s="24">
        <f>O50</f>
        <v>965535</v>
      </c>
      <c r="F30" s="5"/>
      <c r="H30" s="27">
        <f>O35</f>
        <v>520128</v>
      </c>
      <c r="J30" s="5"/>
      <c r="K30" s="32">
        <f>D30-H30</f>
        <v>445407</v>
      </c>
      <c r="M30" s="123"/>
      <c r="O30" s="5"/>
      <c r="P30" s="5"/>
      <c r="Q30" s="5"/>
    </row>
    <row r="31">
      <c r="A31" s="37"/>
      <c r="B31" s="37"/>
      <c r="C31" s="40" t="s">
        <v>1</v>
      </c>
      <c r="D31" s="42"/>
      <c r="E31" s="42"/>
      <c r="F31" s="42"/>
      <c r="G31" s="42"/>
      <c r="H31" s="40" t="s">
        <v>2</v>
      </c>
      <c r="I31" s="42"/>
      <c r="J31" s="18"/>
      <c r="K31" s="40" t="s">
        <v>3</v>
      </c>
      <c r="L31" s="42"/>
      <c r="M31" s="44"/>
      <c r="N31" s="42"/>
      <c r="O31" s="18"/>
      <c r="P31" s="18"/>
      <c r="Q31" s="18"/>
    </row>
    <row r="32" ht="18.0" customHeight="1">
      <c r="A32" s="19"/>
      <c r="B32" s="19"/>
      <c r="C32" s="19"/>
      <c r="D32" s="19"/>
      <c r="E32" s="19" t="s">
        <v>4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8.0" customHeight="1">
      <c r="A33" s="45"/>
      <c r="B33" s="45"/>
      <c r="C33" s="128" t="s">
        <v>38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</row>
    <row r="34" ht="18.0" customHeight="1">
      <c r="A34" s="45"/>
      <c r="B34" s="45"/>
      <c r="C34" s="29"/>
      <c r="D34" s="54" t="s">
        <v>6</v>
      </c>
      <c r="E34" s="57" t="s">
        <v>15</v>
      </c>
      <c r="G34" s="57" t="s">
        <v>16</v>
      </c>
      <c r="I34" s="57" t="s">
        <v>17</v>
      </c>
      <c r="K34" s="57" t="s">
        <v>18</v>
      </c>
      <c r="M34" s="57" t="s">
        <v>19</v>
      </c>
      <c r="N34" s="29"/>
      <c r="O34" s="57" t="s">
        <v>12</v>
      </c>
      <c r="P34" s="29"/>
      <c r="Q34" s="35"/>
    </row>
    <row r="35" ht="18.0" customHeight="1">
      <c r="A35" s="45"/>
      <c r="B35" s="45"/>
      <c r="C35" s="55"/>
      <c r="D35" s="64" t="s">
        <v>13</v>
      </c>
      <c r="E35" s="67">
        <f>SUM(E36:F49)</f>
        <v>143156</v>
      </c>
      <c r="F35" s="62"/>
      <c r="G35" s="67">
        <f>SUM(G36:H49)</f>
        <v>268319</v>
      </c>
      <c r="H35" s="62"/>
      <c r="I35" s="67">
        <f>SUM(I36:J49)</f>
        <v>68264</v>
      </c>
      <c r="J35" s="62"/>
      <c r="K35" s="67">
        <f>SUM(K36:L49)</f>
        <v>40389</v>
      </c>
      <c r="L35" s="62"/>
      <c r="M35" s="67">
        <f>SUM(M36:M49)</f>
        <v>0</v>
      </c>
      <c r="N35" s="72"/>
      <c r="O35" s="67">
        <f t="shared" ref="O35:O54" si="2">SUM(E35:N35)</f>
        <v>520128</v>
      </c>
      <c r="P35" s="72"/>
      <c r="Q35" s="35"/>
    </row>
    <row r="36" ht="18.0" customHeight="1">
      <c r="A36" s="45"/>
      <c r="B36" s="45"/>
      <c r="C36" s="70"/>
      <c r="D36" s="77" t="s">
        <v>20</v>
      </c>
      <c r="E36" s="79">
        <v>0.0</v>
      </c>
      <c r="F36" s="75"/>
      <c r="G36" s="81">
        <f>294021-87010</f>
        <v>207011</v>
      </c>
      <c r="H36" s="75"/>
      <c r="I36" s="83">
        <v>0.0</v>
      </c>
      <c r="J36" s="75"/>
      <c r="K36" s="81">
        <v>0.0</v>
      </c>
      <c r="L36" s="75"/>
      <c r="M36" s="81">
        <v>0.0</v>
      </c>
      <c r="N36" s="80"/>
      <c r="O36" s="83">
        <f t="shared" si="2"/>
        <v>207011</v>
      </c>
      <c r="P36" s="80"/>
      <c r="Q36" s="35"/>
    </row>
    <row r="37" ht="18.0" customHeight="1">
      <c r="A37" s="45"/>
      <c r="B37" s="45"/>
      <c r="C37" s="70"/>
      <c r="D37" s="77" t="s">
        <v>21</v>
      </c>
      <c r="E37" s="81">
        <v>8105.0</v>
      </c>
      <c r="F37" s="75"/>
      <c r="G37" s="79">
        <f>3846+5879+347+600+684+7078+600</f>
        <v>19034</v>
      </c>
      <c r="H37" s="75"/>
      <c r="I37" s="81">
        <f>2714+1000+4074+2188+3385+617+1299+6986</f>
        <v>22263</v>
      </c>
      <c r="J37" s="75"/>
      <c r="K37" s="81">
        <f>2066+2156+1398+550+2330+5111+477+1199+600+4516</f>
        <v>20403</v>
      </c>
      <c r="L37" s="75"/>
      <c r="M37" s="81">
        <v>0.0</v>
      </c>
      <c r="N37" s="80"/>
      <c r="O37" s="83">
        <f t="shared" si="2"/>
        <v>69805</v>
      </c>
      <c r="P37" s="80"/>
      <c r="Q37" s="35"/>
    </row>
    <row r="38" ht="18.0" customHeight="1">
      <c r="A38" s="45"/>
      <c r="B38" s="45"/>
      <c r="C38" s="70"/>
      <c r="D38" s="87" t="s">
        <v>22</v>
      </c>
      <c r="E38" s="81">
        <v>0.0</v>
      </c>
      <c r="F38" s="75"/>
      <c r="G38" s="81">
        <f>3822+1283</f>
        <v>5105</v>
      </c>
      <c r="H38" s="75"/>
      <c r="I38" s="81">
        <v>0.0</v>
      </c>
      <c r="J38" s="75"/>
      <c r="K38" s="81">
        <v>3790.0</v>
      </c>
      <c r="L38" s="75"/>
      <c r="M38" s="81">
        <v>0.0</v>
      </c>
      <c r="N38" s="80"/>
      <c r="O38" s="83">
        <f t="shared" si="2"/>
        <v>8895</v>
      </c>
      <c r="P38" s="80"/>
      <c r="Q38" s="35"/>
    </row>
    <row r="39" ht="18.0" customHeight="1">
      <c r="A39" s="45"/>
      <c r="B39" s="45"/>
      <c r="C39" s="70"/>
      <c r="D39" s="87" t="s">
        <v>23</v>
      </c>
      <c r="E39" s="81">
        <v>0.0</v>
      </c>
      <c r="F39" s="75"/>
      <c r="G39" s="81">
        <f>1990+2000</f>
        <v>3990</v>
      </c>
      <c r="H39" s="75"/>
      <c r="I39" s="79">
        <f>2890+4070</f>
        <v>6960</v>
      </c>
      <c r="J39" s="75"/>
      <c r="K39" s="81">
        <f>3490+2000</f>
        <v>5490</v>
      </c>
      <c r="L39" s="75"/>
      <c r="M39" s="81">
        <v>0.0</v>
      </c>
      <c r="N39" s="80"/>
      <c r="O39" s="83">
        <f t="shared" si="2"/>
        <v>16440</v>
      </c>
      <c r="P39" s="80"/>
      <c r="Q39" s="35"/>
    </row>
    <row r="40" ht="18.0" customHeight="1">
      <c r="A40" s="45"/>
      <c r="B40" s="45"/>
      <c r="C40" s="70"/>
      <c r="D40" s="77" t="s">
        <v>24</v>
      </c>
      <c r="E40" s="81">
        <v>0.0</v>
      </c>
      <c r="F40" s="75"/>
      <c r="G40" s="81">
        <f>1305+990+900</f>
        <v>3195</v>
      </c>
      <c r="H40" s="75"/>
      <c r="I40" s="81">
        <f>1000+1640+1000+940</f>
        <v>4580</v>
      </c>
      <c r="J40" s="75"/>
      <c r="K40" s="81">
        <f>2666+1000+780+2330+1150+940</f>
        <v>8866</v>
      </c>
      <c r="L40" s="75"/>
      <c r="M40" s="81">
        <v>0.0</v>
      </c>
      <c r="N40" s="80"/>
      <c r="O40" s="83">
        <f t="shared" si="2"/>
        <v>16641</v>
      </c>
      <c r="P40" s="80"/>
      <c r="Q40" s="35"/>
    </row>
    <row r="41" ht="18.0" customHeight="1">
      <c r="A41" s="45"/>
      <c r="B41" s="45"/>
      <c r="C41" s="70"/>
      <c r="D41" s="77" t="s">
        <v>25</v>
      </c>
      <c r="E41" s="81">
        <v>0.0</v>
      </c>
      <c r="F41" s="75"/>
      <c r="G41" s="79">
        <v>0.0</v>
      </c>
      <c r="H41" s="75"/>
      <c r="I41" s="81">
        <v>0.0</v>
      </c>
      <c r="J41" s="75"/>
      <c r="K41" s="81">
        <v>0.0</v>
      </c>
      <c r="L41" s="75"/>
      <c r="M41" s="83">
        <v>0.0</v>
      </c>
      <c r="N41" s="80"/>
      <c r="O41" s="83">
        <f t="shared" si="2"/>
        <v>0</v>
      </c>
      <c r="P41" s="80"/>
      <c r="Q41" s="35"/>
    </row>
    <row r="42" ht="18.0" customHeight="1">
      <c r="A42" s="45"/>
      <c r="B42" s="45"/>
      <c r="C42" s="70"/>
      <c r="D42" s="77" t="s">
        <v>26</v>
      </c>
      <c r="E42" s="81">
        <v>0.0</v>
      </c>
      <c r="F42" s="75"/>
      <c r="G42" s="81">
        <v>0.0</v>
      </c>
      <c r="H42" s="75"/>
      <c r="I42" s="79">
        <v>0.0</v>
      </c>
      <c r="J42" s="75"/>
      <c r="K42" s="81">
        <v>0.0</v>
      </c>
      <c r="L42" s="75"/>
      <c r="M42" s="81">
        <v>0.0</v>
      </c>
      <c r="N42" s="80"/>
      <c r="O42" s="83">
        <f t="shared" si="2"/>
        <v>0</v>
      </c>
      <c r="P42" s="80"/>
      <c r="Q42" s="35"/>
    </row>
    <row r="43" ht="18.0" customHeight="1">
      <c r="A43" s="45"/>
      <c r="B43" s="45"/>
      <c r="C43" s="70"/>
      <c r="D43" s="77" t="s">
        <v>27</v>
      </c>
      <c r="E43" s="83">
        <v>0.0</v>
      </c>
      <c r="F43" s="75"/>
      <c r="G43" s="83">
        <v>0.0</v>
      </c>
      <c r="H43" s="75"/>
      <c r="I43" s="83">
        <v>0.0</v>
      </c>
      <c r="J43" s="75"/>
      <c r="K43" s="83">
        <v>0.0</v>
      </c>
      <c r="L43" s="75"/>
      <c r="M43" s="81">
        <v>0.0</v>
      </c>
      <c r="N43" s="80"/>
      <c r="O43" s="83">
        <f t="shared" si="2"/>
        <v>0</v>
      </c>
      <c r="P43" s="80"/>
      <c r="Q43" s="35"/>
    </row>
    <row r="44" ht="18.0" customHeight="1">
      <c r="A44" s="45"/>
      <c r="B44" s="45"/>
      <c r="C44" s="70"/>
      <c r="D44" s="77" t="s">
        <v>28</v>
      </c>
      <c r="E44" s="81">
        <f>2200+9108+25000+16643+13720+18380+5915+1473+8220+11527+822+1233+16104+1314+1147</f>
        <v>132806</v>
      </c>
      <c r="F44" s="75"/>
      <c r="G44" s="83">
        <v>0.0</v>
      </c>
      <c r="H44" s="75"/>
      <c r="I44" s="83">
        <v>0.0</v>
      </c>
      <c r="J44" s="75"/>
      <c r="K44" s="83">
        <v>0.0</v>
      </c>
      <c r="L44" s="75"/>
      <c r="M44" s="79">
        <v>0.0</v>
      </c>
      <c r="N44" s="80"/>
      <c r="O44" s="83">
        <f t="shared" si="2"/>
        <v>132806</v>
      </c>
      <c r="P44" s="80"/>
      <c r="Q44" s="35"/>
    </row>
    <row r="45" ht="18.0" customHeight="1">
      <c r="A45" s="45"/>
      <c r="B45" s="45"/>
      <c r="C45" s="70"/>
      <c r="D45" s="77" t="s">
        <v>29</v>
      </c>
      <c r="E45" s="79"/>
      <c r="F45" s="75"/>
      <c r="G45" s="81">
        <f>1149</f>
        <v>1149</v>
      </c>
      <c r="H45" s="75"/>
      <c r="I45" s="81">
        <f>450+8950</f>
        <v>9400</v>
      </c>
      <c r="J45" s="75"/>
      <c r="K45" s="83">
        <v>0.0</v>
      </c>
      <c r="L45" s="75"/>
      <c r="M45" s="83">
        <v>0.0</v>
      </c>
      <c r="N45" s="80"/>
      <c r="O45" s="83">
        <f t="shared" si="2"/>
        <v>10549</v>
      </c>
      <c r="P45" s="80"/>
      <c r="Q45" s="35"/>
    </row>
    <row r="46" ht="18.0" customHeight="1">
      <c r="A46" s="45"/>
      <c r="B46" s="45"/>
      <c r="C46" s="70"/>
      <c r="D46" s="77" t="s">
        <v>30</v>
      </c>
      <c r="E46" s="81">
        <v>2245.0</v>
      </c>
      <c r="F46" s="75"/>
      <c r="G46" s="81">
        <v>2790.0</v>
      </c>
      <c r="H46" s="75"/>
      <c r="I46" s="81">
        <v>4916.0</v>
      </c>
      <c r="J46" s="75"/>
      <c r="K46" s="81">
        <v>0.0</v>
      </c>
      <c r="L46" s="75"/>
      <c r="M46" s="81">
        <v>0.0</v>
      </c>
      <c r="N46" s="80"/>
      <c r="O46" s="83">
        <f t="shared" si="2"/>
        <v>9951</v>
      </c>
      <c r="P46" s="80"/>
      <c r="Q46" s="35"/>
    </row>
    <row r="47" ht="18.0" customHeight="1">
      <c r="A47" s="45"/>
      <c r="B47" s="45"/>
      <c r="C47" s="70"/>
      <c r="D47" s="89" t="s">
        <v>31</v>
      </c>
      <c r="E47" s="81">
        <v>0.0</v>
      </c>
      <c r="F47" s="75"/>
      <c r="G47" s="81">
        <f>1305+5680/2+900+20000</f>
        <v>25045</v>
      </c>
      <c r="H47" s="75"/>
      <c r="I47" s="81">
        <f>15765+1000+1640+940</f>
        <v>19345</v>
      </c>
      <c r="J47" s="75"/>
      <c r="K47" s="81">
        <v>940.0</v>
      </c>
      <c r="L47" s="75"/>
      <c r="M47" s="81">
        <v>0.0</v>
      </c>
      <c r="N47" s="80"/>
      <c r="O47" s="83">
        <f t="shared" si="2"/>
        <v>45330</v>
      </c>
      <c r="P47" s="80"/>
      <c r="Q47" s="35"/>
    </row>
    <row r="48" ht="18.0" customHeight="1">
      <c r="A48" s="45"/>
      <c r="B48" s="45"/>
      <c r="C48" s="70"/>
      <c r="D48" s="77" t="s">
        <v>32</v>
      </c>
      <c r="E48" s="83">
        <v>0.0</v>
      </c>
      <c r="F48" s="75"/>
      <c r="G48" s="81">
        <v>0.0</v>
      </c>
      <c r="H48" s="75"/>
      <c r="I48" s="83">
        <v>0.0</v>
      </c>
      <c r="J48" s="75"/>
      <c r="K48" s="81">
        <v>0.0</v>
      </c>
      <c r="L48" s="75"/>
      <c r="M48" s="83">
        <v>0.0</v>
      </c>
      <c r="N48" s="80"/>
      <c r="O48" s="83">
        <f t="shared" si="2"/>
        <v>0</v>
      </c>
      <c r="P48" s="80"/>
      <c r="Q48" s="35"/>
    </row>
    <row r="49" ht="18.0" customHeight="1">
      <c r="A49" s="45"/>
      <c r="B49" s="45"/>
      <c r="C49" s="70"/>
      <c r="D49" s="77" t="s">
        <v>33</v>
      </c>
      <c r="E49" s="83">
        <v>0.0</v>
      </c>
      <c r="F49" s="75"/>
      <c r="G49" s="79">
        <v>1000.0</v>
      </c>
      <c r="H49" s="75"/>
      <c r="I49" s="81">
        <v>800.0</v>
      </c>
      <c r="J49" s="75"/>
      <c r="K49" s="81">
        <v>900.0</v>
      </c>
      <c r="L49" s="75"/>
      <c r="M49" s="81">
        <v>0.0</v>
      </c>
      <c r="N49" s="80"/>
      <c r="O49" s="83">
        <f t="shared" si="2"/>
        <v>2700</v>
      </c>
      <c r="P49" s="80"/>
      <c r="Q49" s="35"/>
    </row>
    <row r="50" ht="18.0" customHeight="1">
      <c r="A50" s="45"/>
      <c r="B50" s="45"/>
      <c r="C50" s="93"/>
      <c r="D50" s="94" t="s">
        <v>34</v>
      </c>
      <c r="E50" s="95">
        <f>SUM(E51:F54)</f>
        <v>965535</v>
      </c>
      <c r="F50" s="75"/>
      <c r="G50" s="95">
        <f>SUM(G51:G54)</f>
        <v>0</v>
      </c>
      <c r="H50" s="75"/>
      <c r="I50" s="95">
        <f>SUM(I51:I54)</f>
        <v>0</v>
      </c>
      <c r="J50" s="75"/>
      <c r="K50" s="95">
        <f>SUM(K51:K54)</f>
        <v>0</v>
      </c>
      <c r="L50" s="75"/>
      <c r="M50" s="95">
        <f>SUM(M51:M54)</f>
        <v>0</v>
      </c>
      <c r="N50" s="93"/>
      <c r="O50" s="95">
        <f t="shared" si="2"/>
        <v>965535</v>
      </c>
      <c r="P50" s="93"/>
      <c r="Q50" s="35"/>
    </row>
    <row r="51" ht="18.0" customHeight="1">
      <c r="A51" s="45"/>
      <c r="B51" s="45"/>
      <c r="C51" s="98"/>
      <c r="D51" s="77" t="s">
        <v>35</v>
      </c>
      <c r="E51" s="100">
        <v>945535.0</v>
      </c>
      <c r="F51" s="75"/>
      <c r="G51" s="83">
        <v>0.0</v>
      </c>
      <c r="H51" s="75"/>
      <c r="I51" s="83">
        <v>0.0</v>
      </c>
      <c r="J51" s="75"/>
      <c r="K51" s="83">
        <v>0.0</v>
      </c>
      <c r="L51" s="75"/>
      <c r="M51" s="83">
        <v>0.0</v>
      </c>
      <c r="N51" s="80"/>
      <c r="O51" s="83">
        <f t="shared" si="2"/>
        <v>945535</v>
      </c>
      <c r="P51" s="80"/>
      <c r="Q51" s="35"/>
    </row>
    <row r="52" ht="18.0" customHeight="1">
      <c r="A52" s="45"/>
      <c r="B52" s="45"/>
      <c r="C52" s="98"/>
      <c r="D52" s="77" t="s">
        <v>36</v>
      </c>
      <c r="E52" s="81">
        <v>0.0</v>
      </c>
      <c r="F52" s="75"/>
      <c r="G52" s="102"/>
      <c r="H52" s="83">
        <v>0.0</v>
      </c>
      <c r="I52" s="102"/>
      <c r="J52" s="83">
        <v>0.0</v>
      </c>
      <c r="K52" s="102"/>
      <c r="L52" s="83">
        <v>0.0</v>
      </c>
      <c r="M52" s="83">
        <v>0.0</v>
      </c>
      <c r="N52" s="80"/>
      <c r="O52" s="83">
        <f t="shared" si="2"/>
        <v>0</v>
      </c>
      <c r="P52" s="80"/>
      <c r="Q52" s="35"/>
    </row>
    <row r="53" ht="18.0" customHeight="1">
      <c r="A53" s="45"/>
      <c r="B53" s="45"/>
      <c r="C53" s="98"/>
      <c r="D53" s="77" t="s">
        <v>37</v>
      </c>
      <c r="E53" s="83">
        <v>0.0</v>
      </c>
      <c r="F53" s="75"/>
      <c r="G53" s="83">
        <v>0.0</v>
      </c>
      <c r="H53" s="75"/>
      <c r="I53" s="83">
        <v>0.0</v>
      </c>
      <c r="J53" s="75"/>
      <c r="K53" s="83">
        <v>0.0</v>
      </c>
      <c r="L53" s="75"/>
      <c r="M53" s="83">
        <v>0.0</v>
      </c>
      <c r="N53" s="80"/>
      <c r="O53" s="83">
        <f t="shared" si="2"/>
        <v>0</v>
      </c>
      <c r="P53" s="80"/>
      <c r="Q53" s="35"/>
    </row>
    <row r="54" ht="18.0" customHeight="1">
      <c r="A54" s="45"/>
      <c r="B54" s="45"/>
      <c r="C54" s="109"/>
      <c r="D54" s="110" t="s">
        <v>33</v>
      </c>
      <c r="E54" s="113">
        <v>20000.0</v>
      </c>
      <c r="F54" s="112"/>
      <c r="G54" s="113">
        <v>0.0</v>
      </c>
      <c r="H54" s="112"/>
      <c r="I54" s="113">
        <v>0.0</v>
      </c>
      <c r="J54" s="112"/>
      <c r="K54" s="113">
        <v>0.0</v>
      </c>
      <c r="L54" s="112"/>
      <c r="M54" s="111">
        <v>0.0</v>
      </c>
      <c r="N54" s="114"/>
      <c r="O54" s="111">
        <f t="shared" si="2"/>
        <v>20000</v>
      </c>
      <c r="P54" s="114"/>
      <c r="Q54" s="35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</row>
    <row r="57" ht="18.0" customHeight="1">
      <c r="A57" s="10"/>
      <c r="B57" s="12"/>
      <c r="C57" s="13"/>
      <c r="D57" s="13"/>
      <c r="E57" s="13"/>
      <c r="F57" s="5"/>
      <c r="G57" s="5"/>
      <c r="H57" s="3" t="str">
        <f t="array" ref="H57">(INDIRECT("I" &amp; ROW() + 1)/INDIRECT("E" &amp; ROW() + 1))</f>
        <v>#DIV/0!</v>
      </c>
      <c r="I57" s="7"/>
      <c r="J57" s="5"/>
      <c r="K57" s="7"/>
      <c r="L57" s="4">
        <f t="array" ref="L57">(1 - INDIRECT("I" &amp; ROW()))</f>
        <v>1</v>
      </c>
      <c r="M57" s="5"/>
      <c r="N57" s="5"/>
      <c r="O57" s="5"/>
      <c r="P57" s="5"/>
      <c r="Q57" s="5"/>
    </row>
    <row r="58" ht="33.75" customHeight="1">
      <c r="A58" s="21"/>
      <c r="B58" s="22"/>
      <c r="C58" s="13"/>
      <c r="D58" s="24">
        <f>O78</f>
        <v>971887</v>
      </c>
      <c r="F58" s="5"/>
      <c r="H58" s="27">
        <f>O63</f>
        <v>630319</v>
      </c>
      <c r="J58" s="5"/>
      <c r="K58" s="32">
        <f>D58-H58</f>
        <v>341568</v>
      </c>
      <c r="M58" s="123"/>
      <c r="O58" s="5"/>
      <c r="P58" s="5"/>
      <c r="Q58" s="5"/>
    </row>
    <row r="59" ht="18.0" customHeight="1">
      <c r="A59" s="37"/>
      <c r="B59" s="37"/>
      <c r="C59" s="40" t="s">
        <v>1</v>
      </c>
      <c r="D59" s="42"/>
      <c r="E59" s="42"/>
      <c r="F59" s="42"/>
      <c r="G59" s="42"/>
      <c r="H59" s="40" t="s">
        <v>2</v>
      </c>
      <c r="I59" s="42"/>
      <c r="J59" s="18"/>
      <c r="K59" s="40" t="s">
        <v>3</v>
      </c>
      <c r="L59" s="42"/>
      <c r="M59" s="44"/>
      <c r="N59" s="42"/>
      <c r="O59" s="18"/>
      <c r="P59" s="18"/>
      <c r="Q59" s="18"/>
    </row>
    <row r="60" ht="18.0" customHeight="1">
      <c r="A60" s="19"/>
      <c r="B60" s="19"/>
      <c r="C60" s="19"/>
      <c r="D60" s="19"/>
      <c r="E60" s="19" t="s">
        <v>4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8.0" customHeight="1">
      <c r="A61" s="45"/>
      <c r="B61" s="45"/>
      <c r="C61" s="128" t="s">
        <v>50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</row>
    <row r="62" ht="18.0" customHeight="1">
      <c r="A62" s="45"/>
      <c r="B62" s="45"/>
      <c r="C62" s="29"/>
      <c r="D62" s="54" t="s">
        <v>6</v>
      </c>
      <c r="E62" s="57" t="s">
        <v>15</v>
      </c>
      <c r="G62" s="57" t="s">
        <v>16</v>
      </c>
      <c r="I62" s="57" t="s">
        <v>17</v>
      </c>
      <c r="K62" s="57" t="s">
        <v>18</v>
      </c>
      <c r="M62" s="57" t="s">
        <v>19</v>
      </c>
      <c r="N62" s="29"/>
      <c r="O62" s="57" t="s">
        <v>12</v>
      </c>
      <c r="P62" s="29"/>
      <c r="Q62" s="35"/>
    </row>
    <row r="63" ht="18.0" customHeight="1">
      <c r="A63" s="45"/>
      <c r="B63" s="45"/>
      <c r="C63" s="55"/>
      <c r="D63" s="64" t="s">
        <v>13</v>
      </c>
      <c r="E63" s="67">
        <f>SUM(E64:F77)</f>
        <v>115886</v>
      </c>
      <c r="F63" s="62"/>
      <c r="G63" s="67">
        <f>SUM(G64:H77)</f>
        <v>295012</v>
      </c>
      <c r="H63" s="62"/>
      <c r="I63" s="67">
        <f>SUM(I64:J77)</f>
        <v>36247</v>
      </c>
      <c r="J63" s="62"/>
      <c r="K63" s="67">
        <f>SUM(K64:L77)</f>
        <v>112771</v>
      </c>
      <c r="L63" s="62"/>
      <c r="M63" s="67">
        <f>SUM(M64:M77)</f>
        <v>70403</v>
      </c>
      <c r="N63" s="72"/>
      <c r="O63" s="67">
        <f t="shared" ref="O63:O82" si="3">SUM(E63:N63)</f>
        <v>630319</v>
      </c>
      <c r="P63" s="72"/>
      <c r="Q63" s="35"/>
    </row>
    <row r="64" ht="18.0" customHeight="1">
      <c r="A64" s="45"/>
      <c r="B64" s="45"/>
      <c r="C64" s="70"/>
      <c r="D64" s="77" t="s">
        <v>20</v>
      </c>
      <c r="E64" s="79">
        <v>0.0</v>
      </c>
      <c r="F64" s="75"/>
      <c r="G64" s="81">
        <f>278521-79256</f>
        <v>199265</v>
      </c>
      <c r="H64" s="75"/>
      <c r="I64" s="81">
        <v>0.0</v>
      </c>
      <c r="J64" s="75"/>
      <c r="K64" s="81">
        <v>0.0</v>
      </c>
      <c r="L64" s="75"/>
      <c r="M64" s="81">
        <v>0.0</v>
      </c>
      <c r="N64" s="80"/>
      <c r="O64" s="83">
        <f t="shared" si="3"/>
        <v>199265</v>
      </c>
      <c r="P64" s="80"/>
      <c r="Q64" s="35"/>
    </row>
    <row r="65" ht="18.0" customHeight="1">
      <c r="A65" s="45"/>
      <c r="B65" s="45"/>
      <c r="C65" s="70"/>
      <c r="D65" s="77" t="s">
        <v>21</v>
      </c>
      <c r="E65" s="81">
        <f>618+1137+1566+1782+600+4048+1649+1018+1509+500+469</f>
        <v>14896</v>
      </c>
      <c r="F65" s="75"/>
      <c r="G65" s="79">
        <f>1075+3847+600+749+3704+1400+2834+5198</f>
        <v>19407</v>
      </c>
      <c r="H65" s="75"/>
      <c r="I65" s="81">
        <f>1165+1178+6368+932+7527</f>
        <v>17170</v>
      </c>
      <c r="J65" s="75"/>
      <c r="K65" s="81">
        <f>1812+1048+694+600+3949+2494+2597+2633+2607+600</f>
        <v>19034</v>
      </c>
      <c r="L65" s="75"/>
      <c r="M65" s="81">
        <f>7270+1872+316+666+600+4935</f>
        <v>15659</v>
      </c>
      <c r="N65" s="80"/>
      <c r="O65" s="83">
        <f t="shared" si="3"/>
        <v>86166</v>
      </c>
      <c r="P65" s="80"/>
      <c r="Q65" s="35"/>
    </row>
    <row r="66" ht="18.0" customHeight="1">
      <c r="A66" s="45"/>
      <c r="B66" s="45"/>
      <c r="C66" s="70"/>
      <c r="D66" s="87" t="s">
        <v>22</v>
      </c>
      <c r="E66" s="81">
        <f>1825</f>
        <v>1825</v>
      </c>
      <c r="F66" s="75"/>
      <c r="G66" s="81">
        <v>0.0</v>
      </c>
      <c r="H66" s="75"/>
      <c r="I66" s="81">
        <f>1700+1738</f>
        <v>3438</v>
      </c>
      <c r="J66" s="75"/>
      <c r="K66" s="81">
        <f>1018+385</f>
        <v>1403</v>
      </c>
      <c r="L66" s="75"/>
      <c r="M66" s="81">
        <v>1257.0</v>
      </c>
      <c r="N66" s="80"/>
      <c r="O66" s="83">
        <f t="shared" si="3"/>
        <v>7923</v>
      </c>
      <c r="P66" s="80"/>
      <c r="Q66" s="35"/>
    </row>
    <row r="67" ht="18.0" customHeight="1">
      <c r="A67" s="45"/>
      <c r="B67" s="45"/>
      <c r="C67" s="70"/>
      <c r="D67" s="87" t="s">
        <v>23</v>
      </c>
      <c r="E67" s="81">
        <f>1590+8600/2</f>
        <v>5890</v>
      </c>
      <c r="F67" s="75"/>
      <c r="G67" s="81">
        <f>10293/2+15142/2</f>
        <v>12717.5</v>
      </c>
      <c r="H67" s="75"/>
      <c r="I67" s="79">
        <f>1490+6900/2</f>
        <v>4940</v>
      </c>
      <c r="J67" s="75"/>
      <c r="K67" s="81">
        <f>8530/2+3400</f>
        <v>7665</v>
      </c>
      <c r="L67" s="75"/>
      <c r="M67" s="81">
        <f>10822/2</f>
        <v>5411</v>
      </c>
      <c r="N67" s="80"/>
      <c r="O67" s="83">
        <f t="shared" si="3"/>
        <v>36623.5</v>
      </c>
      <c r="P67" s="80"/>
      <c r="Q67" s="35"/>
    </row>
    <row r="68" ht="18.0" customHeight="1">
      <c r="A68" s="45"/>
      <c r="B68" s="45"/>
      <c r="C68" s="70"/>
      <c r="D68" s="77" t="s">
        <v>24</v>
      </c>
      <c r="E68" s="81">
        <f>1000+2780/2+1150</f>
        <v>3540</v>
      </c>
      <c r="F68" s="75"/>
      <c r="G68" s="81">
        <f>940+1300+1150+3248/2+940</f>
        <v>5954</v>
      </c>
      <c r="H68" s="75"/>
      <c r="I68" s="81">
        <f>1150+1400+1165+1150</f>
        <v>4865</v>
      </c>
      <c r="J68" s="75"/>
      <c r="K68" s="81">
        <f>1300+940</f>
        <v>2240</v>
      </c>
      <c r="L68" s="75"/>
      <c r="M68" s="81">
        <f>940+1540</f>
        <v>2480</v>
      </c>
      <c r="N68" s="80"/>
      <c r="O68" s="83">
        <f t="shared" si="3"/>
        <v>19079</v>
      </c>
      <c r="P68" s="80"/>
      <c r="Q68" s="35"/>
    </row>
    <row r="69" ht="18.0" customHeight="1">
      <c r="A69" s="45"/>
      <c r="B69" s="45"/>
      <c r="C69" s="70"/>
      <c r="D69" s="77" t="s">
        <v>25</v>
      </c>
      <c r="E69" s="81">
        <v>0.0</v>
      </c>
      <c r="F69" s="75"/>
      <c r="G69" s="79">
        <v>0.0</v>
      </c>
      <c r="H69" s="75"/>
      <c r="I69" s="81">
        <v>0.0</v>
      </c>
      <c r="J69" s="75"/>
      <c r="K69" s="81">
        <v>0.0</v>
      </c>
      <c r="L69" s="75"/>
      <c r="M69" s="83">
        <v>0.0</v>
      </c>
      <c r="N69" s="80"/>
      <c r="O69" s="83">
        <f t="shared" si="3"/>
        <v>0</v>
      </c>
      <c r="P69" s="80"/>
      <c r="Q69" s="35"/>
    </row>
    <row r="70" ht="18.0" customHeight="1">
      <c r="A70" s="45"/>
      <c r="B70" s="45"/>
      <c r="C70" s="70"/>
      <c r="D70" s="77" t="s">
        <v>26</v>
      </c>
      <c r="E70" s="81">
        <v>0.0</v>
      </c>
      <c r="F70" s="75"/>
      <c r="G70" s="81">
        <v>0.0</v>
      </c>
      <c r="H70" s="75"/>
      <c r="I70" s="79">
        <v>1219.0</v>
      </c>
      <c r="J70" s="75"/>
      <c r="K70" s="81">
        <v>0.0</v>
      </c>
      <c r="L70" s="75"/>
      <c r="M70" s="81">
        <f>6000+5500</f>
        <v>11500</v>
      </c>
      <c r="N70" s="80"/>
      <c r="O70" s="83">
        <f t="shared" si="3"/>
        <v>12719</v>
      </c>
      <c r="P70" s="80"/>
      <c r="Q70" s="35"/>
    </row>
    <row r="71" ht="18.0" customHeight="1">
      <c r="A71" s="45"/>
      <c r="B71" s="45"/>
      <c r="C71" s="70"/>
      <c r="D71" s="77" t="s">
        <v>27</v>
      </c>
      <c r="E71" s="83">
        <v>0.0</v>
      </c>
      <c r="F71" s="75"/>
      <c r="G71" s="83">
        <v>0.0</v>
      </c>
      <c r="H71" s="75"/>
      <c r="I71" s="81">
        <v>0.0</v>
      </c>
      <c r="J71" s="75"/>
      <c r="K71" s="83">
        <v>0.0</v>
      </c>
      <c r="L71" s="75"/>
      <c r="M71" s="81">
        <v>0.0</v>
      </c>
      <c r="N71" s="80"/>
      <c r="O71" s="83">
        <f t="shared" si="3"/>
        <v>0</v>
      </c>
      <c r="P71" s="80"/>
      <c r="Q71" s="35"/>
    </row>
    <row r="72" ht="18.0" customHeight="1">
      <c r="A72" s="45"/>
      <c r="B72" s="45"/>
      <c r="C72" s="70"/>
      <c r="D72" s="77" t="s">
        <v>28</v>
      </c>
      <c r="E72" s="83">
        <v>0.0</v>
      </c>
      <c r="F72" s="75"/>
      <c r="G72" s="81">
        <v>24293.0</v>
      </c>
      <c r="H72" s="75"/>
      <c r="I72" s="83">
        <v>0.0</v>
      </c>
      <c r="J72" s="75"/>
      <c r="K72" s="83">
        <v>0.0</v>
      </c>
      <c r="L72" s="75"/>
      <c r="M72" s="79">
        <v>25405.0</v>
      </c>
      <c r="N72" s="80"/>
      <c r="O72" s="83">
        <f t="shared" si="3"/>
        <v>49698</v>
      </c>
      <c r="P72" s="80"/>
      <c r="Q72" s="35"/>
    </row>
    <row r="73" ht="18.0" customHeight="1">
      <c r="A73" s="45"/>
      <c r="B73" s="45"/>
      <c r="C73" s="70"/>
      <c r="D73" s="77" t="s">
        <v>29</v>
      </c>
      <c r="E73" s="79">
        <v>0.0</v>
      </c>
      <c r="F73" s="75"/>
      <c r="G73" s="81">
        <v>0.0</v>
      </c>
      <c r="H73" s="75"/>
      <c r="I73" s="83">
        <v>0.0</v>
      </c>
      <c r="J73" s="75"/>
      <c r="K73" s="81">
        <v>8950.0</v>
      </c>
      <c r="L73" s="75"/>
      <c r="M73" s="83">
        <v>0.0</v>
      </c>
      <c r="N73" s="80"/>
      <c r="O73" s="83">
        <f t="shared" si="3"/>
        <v>8950</v>
      </c>
      <c r="P73" s="80"/>
      <c r="Q73" s="35"/>
    </row>
    <row r="74" ht="18.0" customHeight="1">
      <c r="A74" s="45"/>
      <c r="B74" s="45"/>
      <c r="C74" s="70"/>
      <c r="D74" s="77" t="s">
        <v>30</v>
      </c>
      <c r="E74" s="81">
        <v>2245.0</v>
      </c>
      <c r="F74" s="75"/>
      <c r="G74" s="81">
        <f>699+2790</f>
        <v>3489</v>
      </c>
      <c r="H74" s="75"/>
      <c r="I74" s="81">
        <v>0.0</v>
      </c>
      <c r="J74" s="75"/>
      <c r="K74" s="81">
        <v>3596.0</v>
      </c>
      <c r="L74" s="75"/>
      <c r="M74" s="81">
        <v>0.0</v>
      </c>
      <c r="N74" s="80"/>
      <c r="O74" s="83">
        <f t="shared" si="3"/>
        <v>9330</v>
      </c>
      <c r="P74" s="80"/>
      <c r="Q74" s="35"/>
    </row>
    <row r="75" ht="18.0" customHeight="1">
      <c r="A75" s="45"/>
      <c r="B75" s="45"/>
      <c r="C75" s="70"/>
      <c r="D75" s="89" t="s">
        <v>31</v>
      </c>
      <c r="E75" s="81">
        <f>1000+2780/2+80000+8600/2</f>
        <v>86690</v>
      </c>
      <c r="F75" s="75"/>
      <c r="G75" s="81">
        <f>940+10293/2+15142/2+990+3248/2+940</f>
        <v>17211.5</v>
      </c>
      <c r="H75" s="75"/>
      <c r="I75" s="81">
        <f>1165+6900/2</f>
        <v>4615</v>
      </c>
      <c r="J75" s="75"/>
      <c r="K75" s="81">
        <f>8530/2+64618</f>
        <v>68883</v>
      </c>
      <c r="L75" s="75"/>
      <c r="M75" s="81">
        <f>10822/2+940+1540</f>
        <v>7891</v>
      </c>
      <c r="N75" s="80"/>
      <c r="O75" s="83">
        <f t="shared" si="3"/>
        <v>185290.5</v>
      </c>
      <c r="P75" s="80"/>
      <c r="Q75" s="35"/>
    </row>
    <row r="76" ht="18.0" customHeight="1">
      <c r="A76" s="45"/>
      <c r="B76" s="45"/>
      <c r="C76" s="70"/>
      <c r="D76" s="77" t="s">
        <v>32</v>
      </c>
      <c r="E76" s="81">
        <v>0.0</v>
      </c>
      <c r="F76" s="75"/>
      <c r="G76" s="81">
        <v>11875.0</v>
      </c>
      <c r="H76" s="75"/>
      <c r="I76" s="83">
        <v>0.0</v>
      </c>
      <c r="J76" s="75"/>
      <c r="K76" s="81">
        <v>0.0</v>
      </c>
      <c r="L76" s="75"/>
      <c r="M76" s="81">
        <v>0.0</v>
      </c>
      <c r="N76" s="80"/>
      <c r="O76" s="83">
        <f t="shared" si="3"/>
        <v>11875</v>
      </c>
      <c r="P76" s="80"/>
      <c r="Q76" s="35"/>
    </row>
    <row r="77" ht="18.0" customHeight="1">
      <c r="A77" s="45"/>
      <c r="B77" s="45"/>
      <c r="C77" s="70"/>
      <c r="D77" s="77" t="s">
        <v>33</v>
      </c>
      <c r="E77" s="81">
        <v>800.0</v>
      </c>
      <c r="F77" s="75"/>
      <c r="G77" s="79">
        <v>800.0</v>
      </c>
      <c r="H77" s="75"/>
      <c r="I77" s="81">
        <v>0.0</v>
      </c>
      <c r="J77" s="75"/>
      <c r="K77" s="81">
        <v>1000.0</v>
      </c>
      <c r="L77" s="75"/>
      <c r="M77" s="81">
        <v>800.0</v>
      </c>
      <c r="N77" s="80"/>
      <c r="O77" s="83">
        <f t="shared" si="3"/>
        <v>3400</v>
      </c>
      <c r="P77" s="80"/>
      <c r="Q77" s="35"/>
    </row>
    <row r="78" ht="18.0" customHeight="1">
      <c r="A78" s="45"/>
      <c r="B78" s="45"/>
      <c r="C78" s="93"/>
      <c r="D78" s="94" t="s">
        <v>34</v>
      </c>
      <c r="E78" s="95">
        <f>SUM(E79:F82)</f>
        <v>965535</v>
      </c>
      <c r="F78" s="75"/>
      <c r="G78" s="95">
        <f>SUM(G79:G82)</f>
        <v>0</v>
      </c>
      <c r="H78" s="75"/>
      <c r="I78" s="95">
        <f>SUM(I79:I82)</f>
        <v>0</v>
      </c>
      <c r="J78" s="75"/>
      <c r="K78" s="95">
        <f>SUM(K79:K82)</f>
        <v>0</v>
      </c>
      <c r="L78" s="75"/>
      <c r="M78" s="95">
        <f>SUM(M79:M82)</f>
        <v>6352</v>
      </c>
      <c r="N78" s="93"/>
      <c r="O78" s="95">
        <f t="shared" si="3"/>
        <v>971887</v>
      </c>
      <c r="P78" s="93"/>
      <c r="Q78" s="35"/>
    </row>
    <row r="79" ht="18.0" customHeight="1">
      <c r="A79" s="45"/>
      <c r="B79" s="45"/>
      <c r="C79" s="98"/>
      <c r="D79" s="77" t="s">
        <v>35</v>
      </c>
      <c r="E79" s="100">
        <v>945535.0</v>
      </c>
      <c r="F79" s="75"/>
      <c r="G79" s="83">
        <v>0.0</v>
      </c>
      <c r="H79" s="75"/>
      <c r="I79" s="83">
        <v>0.0</v>
      </c>
      <c r="J79" s="75"/>
      <c r="K79" s="83">
        <v>0.0</v>
      </c>
      <c r="L79" s="75"/>
      <c r="M79" s="83">
        <v>0.0</v>
      </c>
      <c r="N79" s="80"/>
      <c r="O79" s="83">
        <f t="shared" si="3"/>
        <v>945535</v>
      </c>
      <c r="P79" s="80"/>
      <c r="Q79" s="35"/>
    </row>
    <row r="80" ht="18.0" customHeight="1">
      <c r="A80" s="45"/>
      <c r="B80" s="45"/>
      <c r="C80" s="98"/>
      <c r="D80" s="77" t="s">
        <v>36</v>
      </c>
      <c r="E80" s="81">
        <v>0.0</v>
      </c>
      <c r="F80" s="75"/>
      <c r="G80" s="102"/>
      <c r="H80" s="83">
        <v>0.0</v>
      </c>
      <c r="I80" s="102"/>
      <c r="J80" s="83">
        <v>0.0</v>
      </c>
      <c r="K80" s="102"/>
      <c r="L80" s="83">
        <v>0.0</v>
      </c>
      <c r="M80" s="83">
        <v>0.0</v>
      </c>
      <c r="N80" s="80"/>
      <c r="O80" s="83">
        <f t="shared" si="3"/>
        <v>0</v>
      </c>
      <c r="P80" s="80"/>
      <c r="Q80" s="35"/>
    </row>
    <row r="81" ht="18.0" customHeight="1">
      <c r="A81" s="45"/>
      <c r="B81" s="45"/>
      <c r="C81" s="98"/>
      <c r="D81" s="77" t="s">
        <v>37</v>
      </c>
      <c r="E81" s="83">
        <v>0.0</v>
      </c>
      <c r="F81" s="75"/>
      <c r="G81" s="83">
        <v>0.0</v>
      </c>
      <c r="H81" s="75"/>
      <c r="I81" s="83">
        <v>0.0</v>
      </c>
      <c r="J81" s="75"/>
      <c r="K81" s="83">
        <v>0.0</v>
      </c>
      <c r="L81" s="75"/>
      <c r="M81" s="83">
        <v>0.0</v>
      </c>
      <c r="N81" s="80"/>
      <c r="O81" s="83">
        <f t="shared" si="3"/>
        <v>0</v>
      </c>
      <c r="P81" s="80"/>
      <c r="Q81" s="35"/>
      <c r="S81" s="196" t="s">
        <v>51</v>
      </c>
    </row>
    <row r="82" ht="18.0" customHeight="1">
      <c r="A82" s="45"/>
      <c r="B82" s="45"/>
      <c r="C82" s="109"/>
      <c r="D82" s="110" t="s">
        <v>33</v>
      </c>
      <c r="E82" s="113">
        <v>20000.0</v>
      </c>
      <c r="F82" s="112"/>
      <c r="G82" s="113">
        <v>0.0</v>
      </c>
      <c r="H82" s="112"/>
      <c r="I82" s="113">
        <v>0.0</v>
      </c>
      <c r="J82" s="112"/>
      <c r="K82" s="113">
        <v>0.0</v>
      </c>
      <c r="L82" s="112"/>
      <c r="M82" s="113">
        <v>6352.0</v>
      </c>
      <c r="N82" s="114"/>
      <c r="O82" s="111">
        <f t="shared" si="3"/>
        <v>26352</v>
      </c>
      <c r="P82" s="114"/>
      <c r="Q82" s="35"/>
    </row>
    <row r="83" ht="18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18.0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6"/>
      <c r="O84" s="116"/>
      <c r="P84" s="116"/>
      <c r="Q84" s="19"/>
    </row>
    <row r="85">
      <c r="A85" s="10"/>
      <c r="B85" s="12"/>
      <c r="C85" s="13"/>
      <c r="D85" s="13"/>
      <c r="E85" s="13"/>
      <c r="F85" s="5"/>
      <c r="G85" s="5"/>
      <c r="H85" s="3" t="str">
        <f t="array" ref="H85">(INDIRECT("I" &amp; ROW() + 1)/INDIRECT("E" &amp; ROW() + 1))</f>
        <v>#DIV/0!</v>
      </c>
      <c r="I85" s="7"/>
      <c r="J85" s="5"/>
      <c r="K85" s="7"/>
      <c r="L85" s="4">
        <f t="array" ref="L85">(1 - INDIRECT("I" &amp; ROW()))</f>
        <v>1</v>
      </c>
      <c r="M85" s="5"/>
      <c r="N85" s="5"/>
      <c r="O85" s="5"/>
      <c r="P85" s="5"/>
      <c r="Q85" s="5"/>
    </row>
    <row r="86">
      <c r="A86" s="21"/>
      <c r="B86" s="22"/>
      <c r="C86" s="13"/>
      <c r="D86" s="24">
        <f>O106</f>
        <v>1008847</v>
      </c>
      <c r="F86" s="5"/>
      <c r="H86" s="27">
        <f>O91</f>
        <v>893690</v>
      </c>
      <c r="J86" s="5"/>
      <c r="K86" s="32">
        <f>D86-H86</f>
        <v>115157</v>
      </c>
      <c r="M86" s="123"/>
      <c r="O86" s="5"/>
      <c r="P86" s="5"/>
      <c r="Q86" s="5"/>
    </row>
    <row r="87">
      <c r="A87" s="37"/>
      <c r="B87" s="37"/>
      <c r="C87" s="40" t="s">
        <v>1</v>
      </c>
      <c r="D87" s="42"/>
      <c r="E87" s="42"/>
      <c r="F87" s="42"/>
      <c r="G87" s="42"/>
      <c r="H87" s="40" t="s">
        <v>2</v>
      </c>
      <c r="I87" s="42"/>
      <c r="J87" s="18"/>
      <c r="K87" s="40" t="s">
        <v>3</v>
      </c>
      <c r="L87" s="42"/>
      <c r="M87" s="44"/>
      <c r="N87" s="42"/>
      <c r="O87" s="18"/>
      <c r="P87" s="18"/>
      <c r="Q87" s="18"/>
    </row>
    <row r="88">
      <c r="A88" s="19"/>
      <c r="B88" s="19"/>
      <c r="C88" s="19"/>
      <c r="D88" s="19"/>
      <c r="E88" s="19" t="s">
        <v>4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>
      <c r="A89" s="45"/>
      <c r="B89" s="45"/>
      <c r="C89" s="198" t="s">
        <v>52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</row>
    <row r="90">
      <c r="A90" s="45"/>
      <c r="B90" s="45"/>
      <c r="C90" s="29"/>
      <c r="D90" s="54" t="s">
        <v>6</v>
      </c>
      <c r="E90" s="57" t="s">
        <v>15</v>
      </c>
      <c r="G90" s="57" t="s">
        <v>16</v>
      </c>
      <c r="I90" s="57" t="s">
        <v>17</v>
      </c>
      <c r="K90" s="57" t="s">
        <v>18</v>
      </c>
      <c r="M90" s="57" t="s">
        <v>19</v>
      </c>
      <c r="N90" s="29"/>
      <c r="O90" s="57" t="s">
        <v>12</v>
      </c>
      <c r="P90" s="29"/>
      <c r="Q90" s="35"/>
    </row>
    <row r="91">
      <c r="A91" s="45"/>
      <c r="B91" s="45"/>
      <c r="C91" s="55"/>
      <c r="D91" s="64" t="s">
        <v>13</v>
      </c>
      <c r="E91" s="67">
        <f>SUM(E92:F105)</f>
        <v>69246</v>
      </c>
      <c r="F91" s="62"/>
      <c r="G91" s="67">
        <f>SUM(G92:H105)</f>
        <v>251756</v>
      </c>
      <c r="H91" s="62"/>
      <c r="I91" s="67">
        <f>SUM(I92:J105)</f>
        <v>237832</v>
      </c>
      <c r="J91" s="62"/>
      <c r="K91" s="67">
        <f>SUM(K92:L105)</f>
        <v>160328</v>
      </c>
      <c r="L91" s="62"/>
      <c r="M91" s="67">
        <f>SUM(M92:M105)</f>
        <v>174528</v>
      </c>
      <c r="N91" s="72"/>
      <c r="O91" s="67">
        <f t="shared" ref="O91:O110" si="4">SUM(E91:N91)</f>
        <v>893690</v>
      </c>
      <c r="P91" s="72"/>
      <c r="Q91" s="35"/>
    </row>
    <row r="92">
      <c r="A92" s="45"/>
      <c r="B92" s="45"/>
      <c r="C92" s="70"/>
      <c r="D92" s="77" t="s">
        <v>20</v>
      </c>
      <c r="E92" s="79">
        <v>0.0</v>
      </c>
      <c r="F92" s="75"/>
      <c r="G92" s="81">
        <f>290906-85453</f>
        <v>205453</v>
      </c>
      <c r="H92" s="75"/>
      <c r="I92" s="81">
        <v>0.0</v>
      </c>
      <c r="J92" s="75"/>
      <c r="K92" s="81">
        <v>0.0</v>
      </c>
      <c r="L92" s="75"/>
      <c r="M92" s="81">
        <v>0.0</v>
      </c>
      <c r="N92" s="80"/>
      <c r="O92" s="83">
        <f t="shared" si="4"/>
        <v>205453</v>
      </c>
      <c r="P92" s="80"/>
      <c r="Q92" s="35"/>
    </row>
    <row r="93">
      <c r="A93" s="45"/>
      <c r="B93" s="45"/>
      <c r="C93" s="70"/>
      <c r="D93" s="77" t="s">
        <v>21</v>
      </c>
      <c r="E93" s="81">
        <f>3567+158+2846+2854+4082</f>
        <v>13507</v>
      </c>
      <c r="F93" s="75"/>
      <c r="G93" s="79">
        <f>898+499+1947+600+3067</f>
        <v>7011</v>
      </c>
      <c r="H93" s="75"/>
      <c r="I93" s="81">
        <f>4268+1318+2080+1165+489+600+3550+5768</f>
        <v>19238</v>
      </c>
      <c r="J93" s="75"/>
      <c r="K93" s="81">
        <f>5938+2114+600+489+3598+1249</f>
        <v>13988</v>
      </c>
      <c r="L93" s="75"/>
      <c r="M93" s="81">
        <f>337+9019+600+1198</f>
        <v>11154</v>
      </c>
      <c r="N93" s="80"/>
      <c r="O93" s="83">
        <f t="shared" si="4"/>
        <v>64898</v>
      </c>
      <c r="P93" s="80"/>
      <c r="Q93" s="35"/>
    </row>
    <row r="94">
      <c r="A94" s="45"/>
      <c r="B94" s="45"/>
      <c r="C94" s="70"/>
      <c r="D94" s="87" t="s">
        <v>22</v>
      </c>
      <c r="E94" s="81">
        <v>0.0</v>
      </c>
      <c r="F94" s="75"/>
      <c r="G94" s="81">
        <f>1999+778+2298</f>
        <v>5075</v>
      </c>
      <c r="H94" s="75"/>
      <c r="I94" s="81">
        <f>4195+3148</f>
        <v>7343</v>
      </c>
      <c r="J94" s="75"/>
      <c r="K94" s="81">
        <f>720+3448+2336</f>
        <v>6504</v>
      </c>
      <c r="L94" s="75"/>
      <c r="M94" s="81">
        <f>659+5900</f>
        <v>6559</v>
      </c>
      <c r="N94" s="80"/>
      <c r="O94" s="83">
        <f t="shared" si="4"/>
        <v>25481</v>
      </c>
      <c r="P94" s="80"/>
      <c r="Q94" s="35"/>
    </row>
    <row r="95">
      <c r="A95" s="45"/>
      <c r="B95" s="45"/>
      <c r="C95" s="70"/>
      <c r="D95" s="202" t="s">
        <v>23</v>
      </c>
      <c r="E95" s="81">
        <f>7125/2+31144/2</f>
        <v>19134.5</v>
      </c>
      <c r="F95" s="75"/>
      <c r="G95" s="81">
        <f>2890+8360/2+559+649+5278</f>
        <v>13556</v>
      </c>
      <c r="H95" s="75"/>
      <c r="I95" s="79">
        <f>3470/2+12881/2</f>
        <v>8175.5</v>
      </c>
      <c r="J95" s="75"/>
      <c r="K95" s="81">
        <f>8910+2380+3706</f>
        <v>14996</v>
      </c>
      <c r="L95" s="75"/>
      <c r="M95" s="81">
        <v>0.0</v>
      </c>
      <c r="N95" s="80"/>
      <c r="O95" s="83">
        <f t="shared" si="4"/>
        <v>55862</v>
      </c>
      <c r="P95" s="80"/>
      <c r="Q95" s="35"/>
    </row>
    <row r="96">
      <c r="A96" s="45"/>
      <c r="B96" s="45"/>
      <c r="C96" s="70"/>
      <c r="D96" s="77" t="s">
        <v>24</v>
      </c>
      <c r="E96" s="81">
        <f>1300+1150+1440</f>
        <v>3890</v>
      </c>
      <c r="F96" s="75"/>
      <c r="G96" s="81">
        <f>940+1150</f>
        <v>2090</v>
      </c>
      <c r="H96" s="75"/>
      <c r="I96" s="81">
        <f>1150+1150</f>
        <v>2300</v>
      </c>
      <c r="J96" s="75"/>
      <c r="K96" s="81">
        <f>850+1150+2930+2780/2</f>
        <v>6320</v>
      </c>
      <c r="L96" s="75"/>
      <c r="M96" s="81">
        <f>1150+1150+800</f>
        <v>3100</v>
      </c>
      <c r="N96" s="80"/>
      <c r="O96" s="83">
        <f t="shared" si="4"/>
        <v>17700</v>
      </c>
      <c r="P96" s="80"/>
      <c r="Q96" s="35"/>
    </row>
    <row r="97">
      <c r="A97" s="45"/>
      <c r="B97" s="45"/>
      <c r="C97" s="70"/>
      <c r="D97" s="77" t="s">
        <v>25</v>
      </c>
      <c r="E97" s="81">
        <v>0.0</v>
      </c>
      <c r="F97" s="75"/>
      <c r="G97" s="79">
        <v>0.0</v>
      </c>
      <c r="H97" s="75"/>
      <c r="I97" s="81">
        <v>100000.0</v>
      </c>
      <c r="J97" s="75"/>
      <c r="K97" s="81">
        <v>0.0</v>
      </c>
      <c r="L97" s="75"/>
      <c r="M97" s="81">
        <f>100000+7580</f>
        <v>107580</v>
      </c>
      <c r="N97" s="80"/>
      <c r="O97" s="83">
        <f t="shared" si="4"/>
        <v>207580</v>
      </c>
      <c r="P97" s="80"/>
      <c r="Q97" s="35"/>
    </row>
    <row r="98">
      <c r="A98" s="45"/>
      <c r="B98" s="45"/>
      <c r="C98" s="70"/>
      <c r="D98" s="77" t="s">
        <v>26</v>
      </c>
      <c r="E98" s="81">
        <v>0.0</v>
      </c>
      <c r="F98" s="75"/>
      <c r="G98" s="81">
        <v>5500.0</v>
      </c>
      <c r="H98" s="75"/>
      <c r="I98" s="79">
        <v>0.0</v>
      </c>
      <c r="J98" s="75"/>
      <c r="K98" s="81">
        <v>0.0</v>
      </c>
      <c r="L98" s="75"/>
      <c r="M98" s="81">
        <v>0.0</v>
      </c>
      <c r="N98" s="80"/>
      <c r="O98" s="83">
        <f t="shared" si="4"/>
        <v>5500</v>
      </c>
      <c r="P98" s="80"/>
      <c r="Q98" s="35"/>
    </row>
    <row r="99">
      <c r="A99" s="45"/>
      <c r="B99" s="45"/>
      <c r="C99" s="70"/>
      <c r="D99" s="77" t="s">
        <v>27</v>
      </c>
      <c r="E99" s="81">
        <v>6595.0</v>
      </c>
      <c r="F99" s="75"/>
      <c r="G99" s="81">
        <v>0.0</v>
      </c>
      <c r="H99" s="75"/>
      <c r="I99" s="81">
        <v>0.0</v>
      </c>
      <c r="J99" s="75"/>
      <c r="K99" s="83">
        <v>0.0</v>
      </c>
      <c r="L99" s="75"/>
      <c r="M99" s="81">
        <v>3995.0</v>
      </c>
      <c r="N99" s="80"/>
      <c r="O99" s="83">
        <f t="shared" si="4"/>
        <v>10590</v>
      </c>
      <c r="P99" s="80"/>
      <c r="Q99" s="35"/>
    </row>
    <row r="100">
      <c r="A100" s="45"/>
      <c r="B100" s="45"/>
      <c r="C100" s="70"/>
      <c r="D100" s="77" t="s">
        <v>28</v>
      </c>
      <c r="E100" s="83">
        <v>0.0</v>
      </c>
      <c r="F100" s="75"/>
      <c r="G100" s="81">
        <v>7392.0</v>
      </c>
      <c r="H100" s="75"/>
      <c r="I100" s="83">
        <v>0.0</v>
      </c>
      <c r="J100" s="75"/>
      <c r="K100" s="81">
        <v>101620.0</v>
      </c>
      <c r="L100" s="75"/>
      <c r="M100" s="79">
        <v>0.0</v>
      </c>
      <c r="N100" s="80"/>
      <c r="O100" s="83">
        <f t="shared" si="4"/>
        <v>109012</v>
      </c>
      <c r="P100" s="80"/>
      <c r="Q100" s="35"/>
    </row>
    <row r="101">
      <c r="A101" s="45"/>
      <c r="B101" s="45"/>
      <c r="C101" s="70"/>
      <c r="D101" s="77" t="s">
        <v>29</v>
      </c>
      <c r="E101" s="79">
        <v>0.0</v>
      </c>
      <c r="F101" s="75"/>
      <c r="G101" s="81">
        <v>0.0</v>
      </c>
      <c r="H101" s="75"/>
      <c r="I101" s="83">
        <v>0.0</v>
      </c>
      <c r="J101" s="75"/>
      <c r="K101" s="81">
        <v>9400.0</v>
      </c>
      <c r="L101" s="75"/>
      <c r="M101" s="83">
        <v>0.0</v>
      </c>
      <c r="N101" s="80"/>
      <c r="O101" s="83">
        <f t="shared" si="4"/>
        <v>9400</v>
      </c>
      <c r="P101" s="80"/>
      <c r="Q101" s="35"/>
    </row>
    <row r="102">
      <c r="A102" s="45"/>
      <c r="B102" s="45"/>
      <c r="C102" s="70"/>
      <c r="D102" s="77" t="s">
        <v>30</v>
      </c>
      <c r="E102" s="81">
        <v>2245.0</v>
      </c>
      <c r="F102" s="75"/>
      <c r="G102" s="81">
        <v>699.0</v>
      </c>
      <c r="H102" s="75"/>
      <c r="I102" s="81">
        <v>0.0</v>
      </c>
      <c r="J102" s="75"/>
      <c r="K102" s="81">
        <v>0.0</v>
      </c>
      <c r="L102" s="75"/>
      <c r="M102" s="81">
        <v>0.0</v>
      </c>
      <c r="N102" s="200"/>
      <c r="O102" s="83">
        <f t="shared" si="4"/>
        <v>2944</v>
      </c>
      <c r="P102" s="80"/>
      <c r="Q102" s="35"/>
    </row>
    <row r="103">
      <c r="A103" s="45"/>
      <c r="B103" s="45"/>
      <c r="C103" s="70"/>
      <c r="D103" s="89" t="s">
        <v>31</v>
      </c>
      <c r="E103" s="81">
        <f>7125/2+1300+1440+31144/2</f>
        <v>21874.5</v>
      </c>
      <c r="F103" s="75"/>
      <c r="G103" s="81">
        <f>8360/2</f>
        <v>4180</v>
      </c>
      <c r="H103" s="75"/>
      <c r="I103" s="81">
        <f>1140+3470/2+90660+12881/2</f>
        <v>99975.5</v>
      </c>
      <c r="J103" s="75"/>
      <c r="K103" s="81">
        <f>900+1140+2780/2</f>
        <v>3430</v>
      </c>
      <c r="L103" s="75"/>
      <c r="M103" s="81">
        <f>41000+1140</f>
        <v>42140</v>
      </c>
      <c r="N103" s="80"/>
      <c r="O103" s="83">
        <f t="shared" si="4"/>
        <v>171600</v>
      </c>
      <c r="P103" s="80"/>
      <c r="Q103" s="35"/>
    </row>
    <row r="104">
      <c r="A104" s="45"/>
      <c r="B104" s="45"/>
      <c r="C104" s="70"/>
      <c r="D104" s="77" t="s">
        <v>32</v>
      </c>
      <c r="E104" s="81">
        <v>0.0</v>
      </c>
      <c r="F104" s="75"/>
      <c r="G104" s="81">
        <v>0.0</v>
      </c>
      <c r="H104" s="75"/>
      <c r="I104" s="81">
        <v>0.0</v>
      </c>
      <c r="J104" s="75"/>
      <c r="K104" s="81">
        <v>0.0</v>
      </c>
      <c r="L104" s="75"/>
      <c r="M104" s="83">
        <v>0.0</v>
      </c>
      <c r="N104" s="80"/>
      <c r="O104" s="83">
        <f t="shared" si="4"/>
        <v>0</v>
      </c>
      <c r="P104" s="80"/>
      <c r="Q104" s="35"/>
    </row>
    <row r="105">
      <c r="A105" s="45"/>
      <c r="B105" s="45"/>
      <c r="C105" s="70"/>
      <c r="D105" s="77" t="s">
        <v>33</v>
      </c>
      <c r="E105" s="81">
        <v>2000.0</v>
      </c>
      <c r="F105" s="75"/>
      <c r="G105" s="79">
        <v>800.0</v>
      </c>
      <c r="H105" s="75"/>
      <c r="I105" s="81">
        <v>800.0</v>
      </c>
      <c r="J105" s="75"/>
      <c r="K105" s="81">
        <f>3170+900</f>
        <v>4070</v>
      </c>
      <c r="L105" s="75"/>
      <c r="M105" s="81">
        <v>0.0</v>
      </c>
      <c r="N105" s="80"/>
      <c r="O105" s="83">
        <f t="shared" si="4"/>
        <v>7670</v>
      </c>
      <c r="P105" s="80"/>
      <c r="Q105" s="35"/>
    </row>
    <row r="106">
      <c r="A106" s="45"/>
      <c r="B106" s="45"/>
      <c r="C106" s="93"/>
      <c r="D106" s="94" t="s">
        <v>34</v>
      </c>
      <c r="E106" s="95">
        <f>SUM(E107:F110)</f>
        <v>945335</v>
      </c>
      <c r="F106" s="75"/>
      <c r="G106" s="95">
        <f>SUM(G107:G110)</f>
        <v>0</v>
      </c>
      <c r="H106" s="75"/>
      <c r="I106" s="95">
        <f>SUM(I107:I110)</f>
        <v>0</v>
      </c>
      <c r="J106" s="75"/>
      <c r="K106" s="95">
        <f>SUM(K107:K110)</f>
        <v>0</v>
      </c>
      <c r="L106" s="75"/>
      <c r="M106" s="95">
        <f>SUM(M107:M110)</f>
        <v>63512</v>
      </c>
      <c r="N106" s="93"/>
      <c r="O106" s="95">
        <f t="shared" si="4"/>
        <v>1008847</v>
      </c>
      <c r="P106" s="93"/>
      <c r="Q106" s="35"/>
    </row>
    <row r="107">
      <c r="A107" s="45"/>
      <c r="B107" s="45"/>
      <c r="C107" s="98"/>
      <c r="D107" s="77" t="s">
        <v>35</v>
      </c>
      <c r="E107" s="100">
        <v>0.0</v>
      </c>
      <c r="F107" s="75"/>
      <c r="G107" s="81">
        <v>0.0</v>
      </c>
      <c r="H107" s="75"/>
      <c r="I107" s="83">
        <v>0.0</v>
      </c>
      <c r="J107" s="75"/>
      <c r="K107" s="83">
        <v>0.0</v>
      </c>
      <c r="L107" s="75"/>
      <c r="M107" s="83">
        <v>0.0</v>
      </c>
      <c r="N107" s="80"/>
      <c r="O107" s="83">
        <f t="shared" si="4"/>
        <v>0</v>
      </c>
      <c r="P107" s="80"/>
      <c r="Q107" s="35"/>
    </row>
    <row r="108">
      <c r="A108" s="45"/>
      <c r="B108" s="45"/>
      <c r="C108" s="98"/>
      <c r="D108" s="77" t="s">
        <v>36</v>
      </c>
      <c r="E108" s="81">
        <v>0.0</v>
      </c>
      <c r="F108" s="75"/>
      <c r="G108" s="102"/>
      <c r="H108" s="83">
        <v>0.0</v>
      </c>
      <c r="I108" s="102"/>
      <c r="J108" s="83">
        <v>0.0</v>
      </c>
      <c r="K108" s="102"/>
      <c r="L108" s="83">
        <v>0.0</v>
      </c>
      <c r="M108" s="83">
        <v>0.0</v>
      </c>
      <c r="N108" s="80"/>
      <c r="O108" s="83">
        <f t="shared" si="4"/>
        <v>0</v>
      </c>
      <c r="P108" s="80"/>
      <c r="Q108" s="35"/>
    </row>
    <row r="109">
      <c r="A109" s="45"/>
      <c r="B109" s="45"/>
      <c r="C109" s="98"/>
      <c r="D109" s="77" t="s">
        <v>37</v>
      </c>
      <c r="E109" s="83">
        <v>0.0</v>
      </c>
      <c r="F109" s="75"/>
      <c r="G109" s="83">
        <v>0.0</v>
      </c>
      <c r="H109" s="75"/>
      <c r="I109" s="83">
        <v>0.0</v>
      </c>
      <c r="J109" s="75"/>
      <c r="K109" s="83">
        <v>0.0</v>
      </c>
      <c r="L109" s="75"/>
      <c r="M109" s="83">
        <v>0.0</v>
      </c>
      <c r="N109" s="80"/>
      <c r="O109" s="83">
        <f t="shared" si="4"/>
        <v>0</v>
      </c>
      <c r="P109" s="80"/>
      <c r="Q109" s="35"/>
    </row>
    <row r="110">
      <c r="A110" s="45"/>
      <c r="B110" s="45"/>
      <c r="C110" s="109"/>
      <c r="D110" s="110" t="s">
        <v>33</v>
      </c>
      <c r="E110" s="113">
        <v>945335.0</v>
      </c>
      <c r="F110" s="112"/>
      <c r="G110" s="113">
        <v>0.0</v>
      </c>
      <c r="H110" s="112"/>
      <c r="I110" s="113">
        <v>0.0</v>
      </c>
      <c r="J110" s="112"/>
      <c r="K110" s="113">
        <v>0.0</v>
      </c>
      <c r="L110" s="112"/>
      <c r="M110" s="113">
        <v>63512.0</v>
      </c>
      <c r="N110" s="114"/>
      <c r="O110" s="111">
        <f t="shared" si="4"/>
        <v>1008847</v>
      </c>
      <c r="P110" s="114"/>
      <c r="Q110" s="35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6"/>
      <c r="O112" s="116"/>
      <c r="P112" s="116"/>
      <c r="Q112" s="19"/>
    </row>
    <row r="113">
      <c r="A113" s="10"/>
      <c r="B113" s="12"/>
      <c r="C113" s="13"/>
      <c r="D113" s="13"/>
      <c r="E113" s="13"/>
      <c r="F113" s="5"/>
      <c r="G113" s="5"/>
      <c r="H113" s="3" t="str">
        <f t="array" ref="H113">(INDIRECT("I" &amp; ROW() + 1)/INDIRECT("E" &amp; ROW() + 1))</f>
        <v>#DIV/0!</v>
      </c>
      <c r="I113" s="7"/>
      <c r="J113" s="5"/>
      <c r="K113" s="7"/>
      <c r="L113" s="4">
        <f t="array" ref="L113">(1 - INDIRECT("I" &amp; ROW()))</f>
        <v>1</v>
      </c>
      <c r="M113" s="5"/>
      <c r="N113" s="5"/>
      <c r="O113" s="5"/>
      <c r="P113" s="5"/>
      <c r="Q113" s="5"/>
    </row>
    <row r="114">
      <c r="A114" s="203"/>
      <c r="B114" s="204"/>
      <c r="C114" s="13"/>
      <c r="D114" s="24">
        <f>O134</f>
        <v>992610</v>
      </c>
      <c r="F114" s="5"/>
      <c r="H114" s="27">
        <f>O119</f>
        <v>1039988</v>
      </c>
      <c r="J114" s="5"/>
      <c r="K114" s="32">
        <f>D114-H114</f>
        <v>-47378</v>
      </c>
      <c r="M114" s="123"/>
      <c r="O114" s="5"/>
      <c r="P114" s="5"/>
      <c r="Q114" s="5"/>
    </row>
    <row r="115">
      <c r="A115" s="37"/>
      <c r="B115" s="37"/>
      <c r="C115" s="40" t="s">
        <v>1</v>
      </c>
      <c r="D115" s="42"/>
      <c r="E115" s="42"/>
      <c r="F115" s="42"/>
      <c r="G115" s="42"/>
      <c r="H115" s="40" t="s">
        <v>2</v>
      </c>
      <c r="I115" s="42"/>
      <c r="J115" s="18"/>
      <c r="K115" s="40" t="s">
        <v>3</v>
      </c>
      <c r="L115" s="42"/>
      <c r="M115" s="44"/>
      <c r="N115" s="42"/>
      <c r="O115" s="18"/>
      <c r="P115" s="18"/>
      <c r="Q115" s="18"/>
    </row>
    <row r="116">
      <c r="A116" s="19"/>
      <c r="B116" s="19"/>
      <c r="C116" s="19"/>
      <c r="D116" s="19"/>
      <c r="E116" s="19" t="s">
        <v>4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>
      <c r="A117" s="45"/>
      <c r="B117" s="45"/>
      <c r="C117" s="198" t="s">
        <v>54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>
      <c r="A118" s="45"/>
      <c r="B118" s="45"/>
      <c r="C118" s="29"/>
      <c r="D118" s="54" t="s">
        <v>6</v>
      </c>
      <c r="E118" s="57" t="s">
        <v>15</v>
      </c>
      <c r="G118" s="57" t="s">
        <v>16</v>
      </c>
      <c r="I118" s="57" t="s">
        <v>17</v>
      </c>
      <c r="K118" s="57" t="s">
        <v>18</v>
      </c>
      <c r="M118" s="57" t="s">
        <v>19</v>
      </c>
      <c r="N118" s="29"/>
      <c r="O118" s="57" t="s">
        <v>12</v>
      </c>
      <c r="P118" s="29"/>
      <c r="Q118" s="35"/>
    </row>
    <row r="119" ht="18.0" customHeight="1">
      <c r="A119" s="45"/>
      <c r="B119" s="45"/>
      <c r="C119" s="55"/>
      <c r="D119" s="64" t="s">
        <v>13</v>
      </c>
      <c r="E119" s="67">
        <f>SUM(E120:F133)</f>
        <v>96733</v>
      </c>
      <c r="F119" s="62"/>
      <c r="G119" s="67">
        <f>SUM(G120:H133)</f>
        <v>406893</v>
      </c>
      <c r="H119" s="62"/>
      <c r="I119" s="67">
        <f>SUM(I120:J133)</f>
        <v>332547</v>
      </c>
      <c r="J119" s="62"/>
      <c r="K119" s="67">
        <f>SUM(K120:L133)</f>
        <v>155608</v>
      </c>
      <c r="L119" s="62"/>
      <c r="M119" s="67">
        <f>SUM(M120:M133)</f>
        <v>48207</v>
      </c>
      <c r="N119" s="72"/>
      <c r="O119" s="67">
        <f t="shared" ref="O119:O137" si="5">SUM(E119:N119)</f>
        <v>1039988</v>
      </c>
      <c r="P119" s="72"/>
      <c r="Q119" s="35"/>
    </row>
    <row r="120" ht="18.0" customHeight="1">
      <c r="A120" s="45"/>
      <c r="B120" s="45"/>
      <c r="C120" s="70"/>
      <c r="D120" s="77" t="s">
        <v>20</v>
      </c>
      <c r="E120" s="79">
        <v>0.0</v>
      </c>
      <c r="F120" s="75"/>
      <c r="G120" s="81">
        <f>282580-81290</f>
        <v>201290</v>
      </c>
      <c r="H120" s="75"/>
      <c r="I120" s="81">
        <v>0.0</v>
      </c>
      <c r="J120" s="75"/>
      <c r="K120" s="81">
        <v>0.0</v>
      </c>
      <c r="L120" s="75"/>
      <c r="M120" s="81">
        <v>0.0</v>
      </c>
      <c r="N120" s="80"/>
      <c r="O120" s="83">
        <f t="shared" si="5"/>
        <v>201290</v>
      </c>
      <c r="P120" s="80"/>
      <c r="Q120" s="35"/>
    </row>
    <row r="121" ht="18.0" customHeight="1">
      <c r="A121" s="45"/>
      <c r="B121" s="45"/>
      <c r="C121" s="70"/>
      <c r="D121" s="77" t="s">
        <v>21</v>
      </c>
      <c r="E121" s="81">
        <f>899+536+2859</f>
        <v>4294</v>
      </c>
      <c r="F121" s="75"/>
      <c r="G121" s="79">
        <f>1921+3107+600+1088+1962+489+1053+400+1649+285+600</f>
        <v>13154</v>
      </c>
      <c r="H121" s="75"/>
      <c r="I121" s="81">
        <f>3059+3633+1604+695+1305+2290+560</f>
        <v>13146</v>
      </c>
      <c r="J121" s="75"/>
      <c r="K121" s="81">
        <f>1388+4089+1955+387+600+1529+3892+1178+1478+600</f>
        <v>17096</v>
      </c>
      <c r="L121" s="75"/>
      <c r="M121" s="81">
        <f>764+764+3626+3414+600+1806</f>
        <v>10974</v>
      </c>
      <c r="N121" s="80"/>
      <c r="O121" s="83">
        <f t="shared" si="5"/>
        <v>58664</v>
      </c>
      <c r="P121" s="80"/>
      <c r="Q121" s="35"/>
    </row>
    <row r="122" ht="18.0" customHeight="1">
      <c r="A122" s="45"/>
      <c r="B122" s="45"/>
      <c r="C122" s="70"/>
      <c r="D122" s="87" t="s">
        <v>22</v>
      </c>
      <c r="E122" s="81">
        <v>509.0</v>
      </c>
      <c r="F122" s="75"/>
      <c r="G122" s="81">
        <f>2348+2799</f>
        <v>5147</v>
      </c>
      <c r="H122" s="75"/>
      <c r="I122" s="81">
        <f>366+399</f>
        <v>765</v>
      </c>
      <c r="J122" s="75"/>
      <c r="K122" s="81">
        <v>0.0</v>
      </c>
      <c r="L122" s="75"/>
      <c r="M122" s="81">
        <v>1273.0</v>
      </c>
      <c r="N122" s="80"/>
      <c r="O122" s="83">
        <f t="shared" si="5"/>
        <v>7694</v>
      </c>
      <c r="P122" s="80"/>
      <c r="Q122" s="35"/>
    </row>
    <row r="123" ht="18.0" customHeight="1">
      <c r="A123" s="45"/>
      <c r="B123" s="45"/>
      <c r="C123" s="70"/>
      <c r="D123" s="202" t="s">
        <v>23</v>
      </c>
      <c r="E123" s="81">
        <f>(30776-15404)+7102+5200</f>
        <v>27674</v>
      </c>
      <c r="F123" s="75"/>
      <c r="G123" s="81">
        <f>6268+9311+1071</f>
        <v>16650</v>
      </c>
      <c r="H123" s="75"/>
      <c r="I123" s="79">
        <f>8860/2+4300+3035+4760+4880</f>
        <v>21405</v>
      </c>
      <c r="J123" s="75"/>
      <c r="K123" s="81">
        <f>2350</f>
        <v>2350</v>
      </c>
      <c r="L123" s="75"/>
      <c r="M123" s="81">
        <f>2890+4250+(5000+950+4000)</f>
        <v>17090</v>
      </c>
      <c r="N123" s="80"/>
      <c r="O123" s="83">
        <f t="shared" si="5"/>
        <v>85169</v>
      </c>
      <c r="P123" s="80"/>
      <c r="Q123" s="35"/>
    </row>
    <row r="124" ht="18.0" customHeight="1">
      <c r="A124" s="45"/>
      <c r="B124" s="45"/>
      <c r="C124" s="70"/>
      <c r="D124" s="77" t="s">
        <v>24</v>
      </c>
      <c r="E124" s="81">
        <v>0.0</v>
      </c>
      <c r="F124" s="75"/>
      <c r="G124" s="81">
        <f>1150+1265+1150+1150</f>
        <v>4715</v>
      </c>
      <c r="H124" s="75"/>
      <c r="I124" s="81">
        <f>2781/2+1300</f>
        <v>2690.5</v>
      </c>
      <c r="J124" s="75"/>
      <c r="K124" s="81">
        <f>1150+1300</f>
        <v>2450</v>
      </c>
      <c r="L124" s="75"/>
      <c r="M124" s="81">
        <f>2290/2+1265</f>
        <v>2410</v>
      </c>
      <c r="N124" s="80"/>
      <c r="O124" s="83">
        <f t="shared" si="5"/>
        <v>12265.5</v>
      </c>
      <c r="P124" s="80"/>
      <c r="Q124" s="35"/>
    </row>
    <row r="125" ht="18.0" customHeight="1">
      <c r="A125" s="45"/>
      <c r="B125" s="45"/>
      <c r="C125" s="70"/>
      <c r="D125" s="77" t="s">
        <v>25</v>
      </c>
      <c r="E125" s="81">
        <v>0.0</v>
      </c>
      <c r="F125" s="75"/>
      <c r="G125" s="79">
        <v>0.0</v>
      </c>
      <c r="H125" s="75"/>
      <c r="I125" s="81">
        <v>266100.0</v>
      </c>
      <c r="J125" s="75"/>
      <c r="K125" s="81">
        <f>6042+7080</f>
        <v>13122</v>
      </c>
      <c r="L125" s="75"/>
      <c r="M125" s="81">
        <f>8500+2000</f>
        <v>10500</v>
      </c>
      <c r="N125" s="80"/>
      <c r="O125" s="205">
        <f t="shared" si="5"/>
        <v>289722</v>
      </c>
      <c r="P125" s="80"/>
      <c r="Q125" s="35"/>
    </row>
    <row r="126" ht="18.0" customHeight="1">
      <c r="A126" s="45"/>
      <c r="B126" s="45"/>
      <c r="C126" s="70"/>
      <c r="D126" s="77" t="s">
        <v>26</v>
      </c>
      <c r="E126" s="81">
        <v>0.0</v>
      </c>
      <c r="F126" s="75"/>
      <c r="G126" s="81">
        <f>41000+180+6000</f>
        <v>47180</v>
      </c>
      <c r="H126" s="75"/>
      <c r="I126" s="79">
        <v>0.0</v>
      </c>
      <c r="J126" s="75"/>
      <c r="K126" s="81">
        <v>6000.0</v>
      </c>
      <c r="L126" s="75"/>
      <c r="M126" s="81">
        <v>0.0</v>
      </c>
      <c r="N126" s="80"/>
      <c r="O126" s="83">
        <f t="shared" si="5"/>
        <v>53180</v>
      </c>
      <c r="P126" s="80"/>
      <c r="Q126" s="35"/>
    </row>
    <row r="127" ht="18.0" customHeight="1">
      <c r="A127" s="45"/>
      <c r="B127" s="45"/>
      <c r="C127" s="70"/>
      <c r="D127" s="77" t="s">
        <v>27</v>
      </c>
      <c r="E127" s="81">
        <v>0.0</v>
      </c>
      <c r="F127" s="75"/>
      <c r="G127" s="81">
        <f>3990+24990</f>
        <v>28980</v>
      </c>
      <c r="H127" s="75"/>
      <c r="I127" s="81">
        <v>21720.0</v>
      </c>
      <c r="J127" s="75"/>
      <c r="K127" s="81">
        <v>7995.0</v>
      </c>
      <c r="L127" s="75"/>
      <c r="M127" s="81">
        <v>4615.0</v>
      </c>
      <c r="N127" s="200"/>
      <c r="O127" s="83">
        <f t="shared" si="5"/>
        <v>63310</v>
      </c>
      <c r="P127" s="80"/>
      <c r="Q127" s="35"/>
    </row>
    <row r="128" ht="18.0" customHeight="1">
      <c r="A128" s="45"/>
      <c r="B128" s="45"/>
      <c r="C128" s="70"/>
      <c r="D128" s="77" t="s">
        <v>28</v>
      </c>
      <c r="E128" s="81">
        <f>3264+7338+4897+2055+1909+1548+9191+3037+1430+2041+15206</f>
        <v>51916</v>
      </c>
      <c r="F128" s="75"/>
      <c r="G128" s="81">
        <f>1795+1600+3057+1222+1222+3846+4892</f>
        <v>17634</v>
      </c>
      <c r="H128" s="75"/>
      <c r="I128" s="83">
        <v>0.0</v>
      </c>
      <c r="J128" s="75"/>
      <c r="K128" s="83">
        <v>0.0</v>
      </c>
      <c r="L128" s="75"/>
      <c r="M128" s="79">
        <v>0.0</v>
      </c>
      <c r="N128" s="80"/>
      <c r="O128" s="83">
        <f t="shared" si="5"/>
        <v>69550</v>
      </c>
      <c r="P128" s="80"/>
      <c r="Q128" s="35"/>
    </row>
    <row r="129" ht="18.0" customHeight="1">
      <c r="A129" s="45"/>
      <c r="B129" s="45"/>
      <c r="C129" s="70"/>
      <c r="D129" s="77" t="s">
        <v>29</v>
      </c>
      <c r="E129" s="79">
        <v>0.0</v>
      </c>
      <c r="F129" s="75"/>
      <c r="G129" s="81">
        <v>0.0</v>
      </c>
      <c r="H129" s="75"/>
      <c r="I129" s="83">
        <v>0.0</v>
      </c>
      <c r="J129" s="75"/>
      <c r="K129" s="81">
        <f>450+8950</f>
        <v>9400</v>
      </c>
      <c r="L129" s="75"/>
      <c r="M129" s="83">
        <v>0.0</v>
      </c>
      <c r="N129" s="80"/>
      <c r="O129" s="83">
        <f t="shared" si="5"/>
        <v>9400</v>
      </c>
      <c r="P129" s="80"/>
      <c r="Q129" s="35"/>
    </row>
    <row r="130" ht="18.0" customHeight="1">
      <c r="A130" s="45"/>
      <c r="B130" s="45"/>
      <c r="C130" s="70"/>
      <c r="D130" s="77" t="s">
        <v>30</v>
      </c>
      <c r="E130" s="81">
        <v>2245.0</v>
      </c>
      <c r="F130" s="75"/>
      <c r="G130" s="81">
        <f>3702+699</f>
        <v>4401</v>
      </c>
      <c r="H130" s="75"/>
      <c r="I130" s="81">
        <v>0.0</v>
      </c>
      <c r="J130" s="75"/>
      <c r="K130" s="81">
        <v>0.0</v>
      </c>
      <c r="L130" s="75"/>
      <c r="M130" s="81">
        <v>0.0</v>
      </c>
      <c r="N130" s="200"/>
      <c r="O130" s="83">
        <f t="shared" si="5"/>
        <v>6646</v>
      </c>
      <c r="P130" s="80"/>
      <c r="Q130" s="35"/>
    </row>
    <row r="131" ht="18.0" customHeight="1">
      <c r="A131" s="45"/>
      <c r="B131" s="45"/>
      <c r="C131" s="70"/>
      <c r="D131" s="89" t="s">
        <v>31</v>
      </c>
      <c r="E131" s="81">
        <v>9295.0</v>
      </c>
      <c r="F131" s="75"/>
      <c r="G131" s="81">
        <f>692+610+61+1126+64053</f>
        <v>66542</v>
      </c>
      <c r="H131" s="75"/>
      <c r="I131" s="81">
        <f>2781/2+ 8860/2</f>
        <v>5820.5</v>
      </c>
      <c r="J131" s="75"/>
      <c r="K131" s="81">
        <v>97195.0</v>
      </c>
      <c r="L131" s="75"/>
      <c r="M131" s="81">
        <f>2290/2</f>
        <v>1145</v>
      </c>
      <c r="N131" s="80"/>
      <c r="O131" s="205">
        <f t="shared" si="5"/>
        <v>179997.5</v>
      </c>
      <c r="P131" s="80"/>
      <c r="Q131" s="35"/>
    </row>
    <row r="132" ht="18.0" customHeight="1">
      <c r="A132" s="45"/>
      <c r="B132" s="45"/>
      <c r="C132" s="70"/>
      <c r="D132" s="77" t="s">
        <v>32</v>
      </c>
      <c r="E132" s="81">
        <v>0.0</v>
      </c>
      <c r="F132" s="75"/>
      <c r="G132" s="81">
        <v>0.0</v>
      </c>
      <c r="H132" s="75"/>
      <c r="I132" s="81">
        <v>0.0</v>
      </c>
      <c r="J132" s="75"/>
      <c r="K132" s="81">
        <v>0.0</v>
      </c>
      <c r="L132" s="75"/>
      <c r="M132" s="81">
        <v>0.0</v>
      </c>
      <c r="N132" s="80"/>
      <c r="O132" s="83">
        <f t="shared" si="5"/>
        <v>0</v>
      </c>
      <c r="P132" s="80"/>
      <c r="Q132" s="35"/>
    </row>
    <row r="133" ht="18.0" customHeight="1">
      <c r="A133" s="45"/>
      <c r="B133" s="45"/>
      <c r="C133" s="70"/>
      <c r="D133" s="77" t="s">
        <v>33</v>
      </c>
      <c r="E133" s="81">
        <v>800.0</v>
      </c>
      <c r="F133" s="75"/>
      <c r="G133" s="79">
        <f>800+400</f>
        <v>1200</v>
      </c>
      <c r="H133" s="75"/>
      <c r="I133" s="81">
        <f>900</f>
        <v>900</v>
      </c>
      <c r="J133" s="75"/>
      <c r="K133" s="81">
        <v>0.0</v>
      </c>
      <c r="L133" s="75"/>
      <c r="M133" s="81">
        <v>200.0</v>
      </c>
      <c r="N133" s="80"/>
      <c r="O133" s="83">
        <f t="shared" si="5"/>
        <v>3100</v>
      </c>
      <c r="P133" s="80"/>
      <c r="Q133" s="35"/>
    </row>
    <row r="134" ht="18.0" customHeight="1">
      <c r="A134" s="45"/>
      <c r="B134" s="45"/>
      <c r="C134" s="93"/>
      <c r="D134" s="94" t="s">
        <v>34</v>
      </c>
      <c r="E134" s="95">
        <f>SUM(E135:F137)</f>
        <v>945530</v>
      </c>
      <c r="F134" s="75"/>
      <c r="G134" s="95">
        <f>SUM(G135:G137)</f>
        <v>40000</v>
      </c>
      <c r="H134" s="75"/>
      <c r="I134" s="95">
        <f>SUM(I135:I137)</f>
        <v>0</v>
      </c>
      <c r="J134" s="75"/>
      <c r="K134" s="95">
        <f>SUM(K135:K137)</f>
        <v>0</v>
      </c>
      <c r="L134" s="75"/>
      <c r="M134" s="95">
        <f>SUM(M135:M137)</f>
        <v>7080</v>
      </c>
      <c r="N134" s="93"/>
      <c r="O134" s="95">
        <f t="shared" si="5"/>
        <v>992610</v>
      </c>
      <c r="P134" s="93"/>
      <c r="Q134" s="35"/>
    </row>
    <row r="135" ht="18.0" customHeight="1">
      <c r="A135" s="45"/>
      <c r="B135" s="45"/>
      <c r="C135" s="98"/>
      <c r="D135" s="77" t="s">
        <v>35</v>
      </c>
      <c r="E135" s="100">
        <v>945530.0</v>
      </c>
      <c r="F135" s="75"/>
      <c r="G135" s="81">
        <v>0.0</v>
      </c>
      <c r="H135" s="75"/>
      <c r="I135" s="83">
        <v>0.0</v>
      </c>
      <c r="J135" s="75"/>
      <c r="K135" s="83">
        <v>0.0</v>
      </c>
      <c r="L135" s="75"/>
      <c r="M135" s="83">
        <v>0.0</v>
      </c>
      <c r="N135" s="80"/>
      <c r="O135" s="83">
        <f t="shared" si="5"/>
        <v>945530</v>
      </c>
      <c r="P135" s="80"/>
      <c r="Q135" s="35"/>
    </row>
    <row r="136" ht="18.0" customHeight="1">
      <c r="A136" s="45"/>
      <c r="B136" s="45"/>
      <c r="C136" s="98"/>
      <c r="D136" s="77" t="s">
        <v>37</v>
      </c>
      <c r="E136" s="83">
        <v>0.0</v>
      </c>
      <c r="F136" s="75"/>
      <c r="G136" s="83">
        <v>0.0</v>
      </c>
      <c r="H136" s="75"/>
      <c r="I136" s="83">
        <v>0.0</v>
      </c>
      <c r="J136" s="75"/>
      <c r="K136" s="83">
        <v>0.0</v>
      </c>
      <c r="L136" s="75"/>
      <c r="M136" s="83">
        <v>0.0</v>
      </c>
      <c r="N136" s="80"/>
      <c r="O136" s="83">
        <f t="shared" si="5"/>
        <v>0</v>
      </c>
      <c r="P136" s="80"/>
      <c r="Q136" s="35"/>
    </row>
    <row r="137" ht="18.0" customHeight="1">
      <c r="A137" s="45"/>
      <c r="B137" s="45"/>
      <c r="C137" s="109"/>
      <c r="D137" s="110" t="s">
        <v>33</v>
      </c>
      <c r="E137" s="113">
        <v>0.0</v>
      </c>
      <c r="F137" s="112"/>
      <c r="G137" s="113">
        <v>40000.0</v>
      </c>
      <c r="H137" s="112"/>
      <c r="I137" s="113">
        <v>0.0</v>
      </c>
      <c r="J137" s="112"/>
      <c r="K137" s="113">
        <v>0.0</v>
      </c>
      <c r="L137" s="112"/>
      <c r="M137" s="113">
        <v>7080.0</v>
      </c>
      <c r="N137" s="114"/>
      <c r="O137" s="111">
        <f t="shared" si="5"/>
        <v>47080</v>
      </c>
      <c r="P137" s="114"/>
      <c r="Q137" s="35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</row>
    <row r="13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6"/>
      <c r="O139" s="116"/>
      <c r="P139" s="116"/>
      <c r="Q139" s="19"/>
    </row>
    <row r="140">
      <c r="A140" s="10"/>
      <c r="B140" s="12"/>
      <c r="C140" s="13"/>
      <c r="D140" s="13"/>
      <c r="E140" s="13"/>
      <c r="F140" s="5"/>
      <c r="G140" s="5"/>
      <c r="H140" s="3" t="str">
        <f t="array" ref="H140">(INDIRECT("I" &amp; ROW() + 1)/INDIRECT("E" &amp; ROW() + 1))</f>
        <v>#DIV/0!</v>
      </c>
      <c r="I140" s="7"/>
      <c r="J140" s="5"/>
      <c r="K140" s="7"/>
      <c r="L140" s="4">
        <f t="array" ref="L140">(1 - INDIRECT("I" &amp; ROW()))</f>
        <v>1</v>
      </c>
      <c r="M140" s="5"/>
      <c r="N140" s="5"/>
      <c r="O140" s="5"/>
      <c r="P140" s="5"/>
      <c r="Q140" s="5"/>
    </row>
    <row r="141">
      <c r="A141" s="203"/>
      <c r="B141" s="204"/>
      <c r="C141" s="13"/>
      <c r="D141" s="24">
        <f>O161</f>
        <v>1069162</v>
      </c>
      <c r="F141" s="5"/>
      <c r="H141" s="27">
        <f>O146</f>
        <v>825388</v>
      </c>
      <c r="J141" s="5"/>
      <c r="K141" s="32">
        <f>D141-H141</f>
        <v>243774</v>
      </c>
      <c r="M141" s="123">
        <v>1.0</v>
      </c>
      <c r="O141" s="5"/>
      <c r="P141" s="5"/>
      <c r="Q141" s="5"/>
    </row>
    <row r="142">
      <c r="A142" s="37"/>
      <c r="B142" s="37"/>
      <c r="C142" s="40" t="s">
        <v>1</v>
      </c>
      <c r="D142" s="42"/>
      <c r="E142" s="42"/>
      <c r="F142" s="42"/>
      <c r="G142" s="42"/>
      <c r="H142" s="40" t="s">
        <v>2</v>
      </c>
      <c r="I142" s="42"/>
      <c r="J142" s="18"/>
      <c r="K142" s="40" t="s">
        <v>3</v>
      </c>
      <c r="L142" s="42"/>
      <c r="M142" s="44" t="s">
        <v>14</v>
      </c>
      <c r="N142" s="42"/>
      <c r="O142" s="18"/>
      <c r="P142" s="18"/>
      <c r="Q142" s="18"/>
    </row>
    <row r="143">
      <c r="A143" s="19"/>
      <c r="B143" s="19"/>
      <c r="C143" s="19"/>
      <c r="D143" s="19"/>
      <c r="E143" s="19" t="s">
        <v>4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</row>
    <row r="144">
      <c r="A144" s="45"/>
      <c r="B144" s="45"/>
      <c r="C144" s="198" t="s">
        <v>55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9"/>
    </row>
    <row r="145">
      <c r="A145" s="45"/>
      <c r="B145" s="45"/>
      <c r="C145" s="29"/>
      <c r="D145" s="54" t="s">
        <v>6</v>
      </c>
      <c r="E145" s="57" t="s">
        <v>15</v>
      </c>
      <c r="G145" s="57" t="s">
        <v>16</v>
      </c>
      <c r="I145" s="57" t="s">
        <v>17</v>
      </c>
      <c r="K145" s="57" t="s">
        <v>18</v>
      </c>
      <c r="M145" s="57" t="s">
        <v>19</v>
      </c>
      <c r="N145" s="29"/>
      <c r="O145" s="57" t="s">
        <v>12</v>
      </c>
      <c r="P145" s="29"/>
      <c r="Q145" s="35"/>
    </row>
    <row r="146">
      <c r="A146" s="45"/>
      <c r="B146" s="45"/>
      <c r="C146" s="55"/>
      <c r="D146" s="64" t="s">
        <v>13</v>
      </c>
      <c r="E146" s="67">
        <f>SUM(E147:F160)</f>
        <v>82933</v>
      </c>
      <c r="F146" s="62"/>
      <c r="G146" s="67">
        <f>SUM(G147:H160)</f>
        <v>312419</v>
      </c>
      <c r="H146" s="62"/>
      <c r="I146" s="67">
        <f>SUM(I147:J160)</f>
        <v>108895</v>
      </c>
      <c r="J146" s="62"/>
      <c r="K146" s="67">
        <f>SUM(K147:L160)</f>
        <v>247451</v>
      </c>
      <c r="L146" s="62"/>
      <c r="M146" s="67">
        <f>SUM(M147:M160)</f>
        <v>73690</v>
      </c>
      <c r="N146" s="72"/>
      <c r="O146" s="67">
        <f t="shared" ref="O146:O165" si="6">SUM(E146:N146)</f>
        <v>825388</v>
      </c>
      <c r="P146" s="72"/>
      <c r="Q146" s="35"/>
    </row>
    <row r="147">
      <c r="A147" s="45"/>
      <c r="B147" s="45"/>
      <c r="C147" s="70"/>
      <c r="D147" s="77" t="s">
        <v>20</v>
      </c>
      <c r="E147" s="79">
        <v>0.0</v>
      </c>
      <c r="F147" s="75"/>
      <c r="G147" s="81">
        <f>290269-85135</f>
        <v>205134</v>
      </c>
      <c r="H147" s="75"/>
      <c r="I147" s="81">
        <v>0.0</v>
      </c>
      <c r="J147" s="75"/>
      <c r="K147" s="81">
        <v>0.0</v>
      </c>
      <c r="L147" s="75"/>
      <c r="M147" s="81">
        <v>0.0</v>
      </c>
      <c r="N147" s="80"/>
      <c r="O147" s="83">
        <f t="shared" si="6"/>
        <v>205134</v>
      </c>
      <c r="P147" s="80"/>
      <c r="Q147" s="35"/>
    </row>
    <row r="148">
      <c r="A148" s="45"/>
      <c r="B148" s="45"/>
      <c r="C148" s="70"/>
      <c r="D148" s="77" t="s">
        <v>21</v>
      </c>
      <c r="E148" s="81">
        <f>1468+5612+600+2928+4742</f>
        <v>15350</v>
      </c>
      <c r="F148" s="75"/>
      <c r="G148" s="79">
        <f>1398+600+4159+1468+1516+600+3869+759+2786</f>
        <v>17155</v>
      </c>
      <c r="H148" s="75"/>
      <c r="I148" s="81">
        <f>1674+600+12000+1821+1907+1037+2759+6306</f>
        <v>28104</v>
      </c>
      <c r="J148" s="75"/>
      <c r="K148" s="81">
        <f>1327+1667+1400+3029+898+5237+932+607+1737+945</f>
        <v>17779</v>
      </c>
      <c r="L148" s="75"/>
      <c r="M148" s="81">
        <f>8674+398+1172+2586+600</f>
        <v>13430</v>
      </c>
      <c r="N148" s="80"/>
      <c r="O148" s="83">
        <f t="shared" si="6"/>
        <v>91818</v>
      </c>
      <c r="P148" s="80"/>
      <c r="Q148" s="35"/>
    </row>
    <row r="149">
      <c r="A149" s="45"/>
      <c r="B149" s="45"/>
      <c r="C149" s="70"/>
      <c r="D149" s="87" t="s">
        <v>22</v>
      </c>
      <c r="E149" s="81">
        <f>479+575</f>
        <v>1054</v>
      </c>
      <c r="F149" s="75"/>
      <c r="G149" s="81">
        <f>987</f>
        <v>987</v>
      </c>
      <c r="H149" s="75"/>
      <c r="I149" s="81">
        <f>6626+2202+1249</f>
        <v>10077</v>
      </c>
      <c r="J149" s="75"/>
      <c r="K149" s="81">
        <f>549+1383+830+3143</f>
        <v>5905</v>
      </c>
      <c r="L149" s="75"/>
      <c r="M149" s="81">
        <f>549</f>
        <v>549</v>
      </c>
      <c r="N149" s="80"/>
      <c r="O149" s="83">
        <f t="shared" si="6"/>
        <v>18572</v>
      </c>
      <c r="P149" s="80"/>
      <c r="Q149" s="35"/>
    </row>
    <row r="150">
      <c r="A150" s="45"/>
      <c r="B150" s="45"/>
      <c r="C150" s="70"/>
      <c r="D150" s="87" t="s">
        <v>23</v>
      </c>
      <c r="E150" s="81">
        <f>2800+2490</f>
        <v>5290</v>
      </c>
      <c r="F150" s="75"/>
      <c r="G150" s="81">
        <v>0.0</v>
      </c>
      <c r="H150" s="75"/>
      <c r="I150" s="79">
        <f>3800+3500</f>
        <v>7300</v>
      </c>
      <c r="J150" s="75"/>
      <c r="K150" s="81">
        <f>2966+2150/2+11800/2+1350/2</f>
        <v>10616</v>
      </c>
      <c r="L150" s="75"/>
      <c r="M150" s="81">
        <v>0.0</v>
      </c>
      <c r="N150" s="80"/>
      <c r="O150" s="83">
        <f t="shared" si="6"/>
        <v>23206</v>
      </c>
      <c r="P150" s="80"/>
      <c r="Q150" s="35"/>
    </row>
    <row r="151">
      <c r="A151" s="45"/>
      <c r="B151" s="45"/>
      <c r="C151" s="70"/>
      <c r="D151" s="77" t="s">
        <v>24</v>
      </c>
      <c r="E151" s="81">
        <f>2600/2+1190+1150+1150+940</f>
        <v>5730</v>
      </c>
      <c r="F151" s="75"/>
      <c r="G151" s="81">
        <f>850+4570/2+2890/2+1191</f>
        <v>5771</v>
      </c>
      <c r="H151" s="75"/>
      <c r="I151" s="81">
        <f>3114/2+1300+2600/2+1150+1150</f>
        <v>6457</v>
      </c>
      <c r="J151" s="75"/>
      <c r="K151" s="81">
        <f>1300+2600/2+1150</f>
        <v>3750</v>
      </c>
      <c r="L151" s="75"/>
      <c r="M151" s="81">
        <v>0.0</v>
      </c>
      <c r="N151" s="80"/>
      <c r="O151" s="83">
        <f t="shared" si="6"/>
        <v>21708</v>
      </c>
      <c r="P151" s="80"/>
      <c r="Q151" s="35"/>
    </row>
    <row r="152">
      <c r="A152" s="45"/>
      <c r="B152" s="45"/>
      <c r="C152" s="70"/>
      <c r="D152" s="77" t="s">
        <v>25</v>
      </c>
      <c r="E152" s="81">
        <v>0.0</v>
      </c>
      <c r="F152" s="75"/>
      <c r="G152" s="79">
        <v>0.0</v>
      </c>
      <c r="H152" s="75"/>
      <c r="I152" s="81">
        <f>17391+22770</f>
        <v>40161</v>
      </c>
      <c r="J152" s="75"/>
      <c r="K152" s="81">
        <f>21990+83000</f>
        <v>104990</v>
      </c>
      <c r="L152" s="75"/>
      <c r="M152" s="81">
        <f>54252</f>
        <v>54252</v>
      </c>
      <c r="N152" s="80"/>
      <c r="O152" s="83">
        <f t="shared" si="6"/>
        <v>199403</v>
      </c>
      <c r="P152" s="80"/>
      <c r="Q152" s="35"/>
    </row>
    <row r="153">
      <c r="A153" s="45"/>
      <c r="B153" s="45"/>
      <c r="C153" s="70"/>
      <c r="D153" s="77" t="s">
        <v>26</v>
      </c>
      <c r="E153" s="81">
        <f>6000+6000</f>
        <v>12000</v>
      </c>
      <c r="F153" s="75"/>
      <c r="G153" s="81">
        <f>5500</f>
        <v>5500</v>
      </c>
      <c r="H153" s="75"/>
      <c r="I153" s="79">
        <v>0.0</v>
      </c>
      <c r="J153" s="75"/>
      <c r="K153" s="81">
        <v>6000.0</v>
      </c>
      <c r="L153" s="75"/>
      <c r="M153" s="81">
        <v>0.0</v>
      </c>
      <c r="N153" s="80"/>
      <c r="O153" s="83">
        <f t="shared" si="6"/>
        <v>23500</v>
      </c>
      <c r="P153" s="80"/>
      <c r="Q153" s="35"/>
    </row>
    <row r="154">
      <c r="A154" s="45"/>
      <c r="B154" s="45"/>
      <c r="C154" s="70"/>
      <c r="D154" s="77" t="s">
        <v>27</v>
      </c>
      <c r="E154" s="81">
        <v>0.0</v>
      </c>
      <c r="F154" s="75"/>
      <c r="G154" s="81">
        <f>9290</f>
        <v>9290</v>
      </c>
      <c r="H154" s="75"/>
      <c r="I154" s="81">
        <f>5595</f>
        <v>5595</v>
      </c>
      <c r="J154" s="75"/>
      <c r="K154" s="81">
        <v>0.0</v>
      </c>
      <c r="L154" s="75"/>
      <c r="M154" s="81">
        <v>0.0</v>
      </c>
      <c r="N154" s="80"/>
      <c r="O154" s="83">
        <f t="shared" si="6"/>
        <v>14885</v>
      </c>
      <c r="P154" s="80"/>
      <c r="Q154" s="35"/>
    </row>
    <row r="155">
      <c r="A155" s="45"/>
      <c r="B155" s="45"/>
      <c r="C155" s="70"/>
      <c r="D155" s="77" t="s">
        <v>28</v>
      </c>
      <c r="E155" s="83">
        <v>0.0</v>
      </c>
      <c r="F155" s="75"/>
      <c r="G155" s="81">
        <v>0.0</v>
      </c>
      <c r="H155" s="75"/>
      <c r="I155" s="83">
        <v>0.0</v>
      </c>
      <c r="J155" s="75"/>
      <c r="K155" s="83">
        <v>0.0</v>
      </c>
      <c r="L155" s="75"/>
      <c r="M155" s="79">
        <v>0.0</v>
      </c>
      <c r="N155" s="80"/>
      <c r="O155" s="83">
        <f t="shared" si="6"/>
        <v>0</v>
      </c>
      <c r="P155" s="80"/>
      <c r="Q155" s="35"/>
    </row>
    <row r="156">
      <c r="A156" s="45"/>
      <c r="B156" s="45"/>
      <c r="C156" s="70"/>
      <c r="D156" s="77" t="s">
        <v>29</v>
      </c>
      <c r="E156" s="79">
        <v>2674.0</v>
      </c>
      <c r="F156" s="75"/>
      <c r="G156" s="81">
        <v>0.0</v>
      </c>
      <c r="H156" s="75"/>
      <c r="I156" s="83">
        <f>2285+229+1350+2680</f>
        <v>6544</v>
      </c>
      <c r="J156" s="75"/>
      <c r="K156" s="81">
        <f>8950</f>
        <v>8950</v>
      </c>
      <c r="L156" s="75"/>
      <c r="M156" s="83">
        <f>1731</f>
        <v>1731</v>
      </c>
      <c r="N156" s="80"/>
      <c r="O156" s="83">
        <f t="shared" si="6"/>
        <v>19899</v>
      </c>
      <c r="P156" s="80"/>
      <c r="Q156" s="35"/>
    </row>
    <row r="157">
      <c r="A157" s="45"/>
      <c r="B157" s="45"/>
      <c r="C157" s="70"/>
      <c r="D157" s="77" t="s">
        <v>30</v>
      </c>
      <c r="E157" s="81">
        <v>2245.0</v>
      </c>
      <c r="F157" s="75"/>
      <c r="G157" s="81">
        <v>0.0</v>
      </c>
      <c r="H157" s="75"/>
      <c r="I157" s="81">
        <v>0.0</v>
      </c>
      <c r="J157" s="75"/>
      <c r="K157" s="81">
        <v>0.0</v>
      </c>
      <c r="L157" s="75"/>
      <c r="M157" s="81">
        <f>3728</f>
        <v>3728</v>
      </c>
      <c r="N157" s="200"/>
      <c r="O157" s="83">
        <f t="shared" si="6"/>
        <v>5973</v>
      </c>
      <c r="P157" s="80"/>
      <c r="Q157" s="35"/>
    </row>
    <row r="158">
      <c r="A158" s="45"/>
      <c r="B158" s="45"/>
      <c r="C158" s="70"/>
      <c r="D158" s="89" t="s">
        <v>31</v>
      </c>
      <c r="E158" s="81">
        <f>2600/2</f>
        <v>1300</v>
      </c>
      <c r="F158" s="75"/>
      <c r="G158" s="81">
        <f>64852+4570/2+2890/2</f>
        <v>68582</v>
      </c>
      <c r="H158" s="75"/>
      <c r="I158" s="81">
        <f>3114/2+2600/2</f>
        <v>2857</v>
      </c>
      <c r="J158" s="75"/>
      <c r="K158" s="81">
        <f>2600/2+2150/2+79711+11800/2+1350/2</f>
        <v>88661</v>
      </c>
      <c r="L158" s="75"/>
      <c r="M158" s="81">
        <v>0.0</v>
      </c>
      <c r="N158" s="80"/>
      <c r="O158" s="83">
        <f t="shared" si="6"/>
        <v>161400</v>
      </c>
      <c r="P158" s="80"/>
      <c r="Q158" s="35"/>
    </row>
    <row r="159">
      <c r="A159" s="45"/>
      <c r="B159" s="45"/>
      <c r="C159" s="70"/>
      <c r="D159" s="77" t="s">
        <v>32</v>
      </c>
      <c r="E159" s="81">
        <v>35490.0</v>
      </c>
      <c r="F159" s="75"/>
      <c r="G159" s="81">
        <v>0.0</v>
      </c>
      <c r="H159" s="75"/>
      <c r="I159" s="81">
        <v>0.0</v>
      </c>
      <c r="J159" s="75"/>
      <c r="K159" s="81">
        <v>0.0</v>
      </c>
      <c r="L159" s="75"/>
      <c r="M159" s="81">
        <v>0.0</v>
      </c>
      <c r="N159" s="80"/>
      <c r="O159" s="83">
        <f t="shared" si="6"/>
        <v>35490</v>
      </c>
      <c r="P159" s="80"/>
      <c r="Q159" s="35"/>
    </row>
    <row r="160">
      <c r="A160" s="45"/>
      <c r="B160" s="45"/>
      <c r="C160" s="70"/>
      <c r="D160" s="77" t="s">
        <v>33</v>
      </c>
      <c r="E160" s="81">
        <v>1800.0</v>
      </c>
      <c r="F160" s="75"/>
      <c r="G160" s="79">
        <v>0.0</v>
      </c>
      <c r="H160" s="75"/>
      <c r="I160" s="81">
        <f>1800</f>
        <v>1800</v>
      </c>
      <c r="J160" s="75"/>
      <c r="K160" s="81">
        <v>800.0</v>
      </c>
      <c r="L160" s="75"/>
      <c r="M160" s="81">
        <v>0.0</v>
      </c>
      <c r="N160" s="80"/>
      <c r="O160" s="83">
        <f t="shared" si="6"/>
        <v>4400</v>
      </c>
      <c r="P160" s="80"/>
      <c r="Q160" s="35"/>
    </row>
    <row r="161">
      <c r="A161" s="45"/>
      <c r="B161" s="45"/>
      <c r="C161" s="93"/>
      <c r="D161" s="94" t="s">
        <v>34</v>
      </c>
      <c r="E161" s="95">
        <f>SUM(E162:F165)</f>
        <v>945535</v>
      </c>
      <c r="F161" s="75"/>
      <c r="G161" s="95">
        <f>SUM(G162:G165)</f>
        <v>0</v>
      </c>
      <c r="H161" s="75"/>
      <c r="I161" s="95">
        <f>SUM(I162:I165)</f>
        <v>100000</v>
      </c>
      <c r="J161" s="75"/>
      <c r="K161" s="95">
        <f>SUM(K162:K165)</f>
        <v>22770</v>
      </c>
      <c r="L161" s="75"/>
      <c r="M161" s="95">
        <f>SUM(M162:M165)</f>
        <v>857</v>
      </c>
      <c r="N161" s="93"/>
      <c r="O161" s="95">
        <f t="shared" si="6"/>
        <v>1069162</v>
      </c>
      <c r="P161" s="93"/>
      <c r="Q161" s="35"/>
    </row>
    <row r="162">
      <c r="A162" s="45"/>
      <c r="B162" s="45"/>
      <c r="C162" s="98"/>
      <c r="D162" s="77" t="s">
        <v>35</v>
      </c>
      <c r="E162" s="100">
        <v>945535.0</v>
      </c>
      <c r="F162" s="75"/>
      <c r="G162" s="81">
        <v>0.0</v>
      </c>
      <c r="H162" s="75"/>
      <c r="I162" s="81"/>
      <c r="J162" s="83">
        <v>0.0</v>
      </c>
      <c r="K162" s="83">
        <v>0.0</v>
      </c>
      <c r="L162" s="75"/>
      <c r="M162" s="83">
        <v>0.0</v>
      </c>
      <c r="N162" s="80"/>
      <c r="O162" s="83">
        <f t="shared" si="6"/>
        <v>945535</v>
      </c>
      <c r="P162" s="80"/>
      <c r="Q162" s="35"/>
    </row>
    <row r="163">
      <c r="A163" s="45"/>
      <c r="B163" s="45"/>
      <c r="C163" s="98"/>
      <c r="D163" s="77" t="s">
        <v>36</v>
      </c>
      <c r="E163" s="81">
        <v>0.0</v>
      </c>
      <c r="F163" s="75"/>
      <c r="G163" s="102"/>
      <c r="H163" s="83">
        <v>0.0</v>
      </c>
      <c r="I163" s="102"/>
      <c r="J163" s="83">
        <v>0.0</v>
      </c>
      <c r="K163" s="102"/>
      <c r="L163" s="83">
        <v>0.0</v>
      </c>
      <c r="M163" s="83">
        <v>0.0</v>
      </c>
      <c r="N163" s="80"/>
      <c r="O163" s="83">
        <f t="shared" si="6"/>
        <v>0</v>
      </c>
      <c r="P163" s="80"/>
      <c r="Q163" s="35"/>
    </row>
    <row r="164">
      <c r="A164" s="45"/>
      <c r="B164" s="45"/>
      <c r="C164" s="98"/>
      <c r="D164" s="77" t="s">
        <v>37</v>
      </c>
      <c r="E164" s="83">
        <v>0.0</v>
      </c>
      <c r="F164" s="75"/>
      <c r="G164" s="83">
        <v>0.0</v>
      </c>
      <c r="H164" s="75"/>
      <c r="I164" s="83">
        <v>0.0</v>
      </c>
      <c r="J164" s="75"/>
      <c r="K164" s="83">
        <v>0.0</v>
      </c>
      <c r="L164" s="75"/>
      <c r="M164" s="83">
        <v>0.0</v>
      </c>
      <c r="N164" s="80"/>
      <c r="O164" s="83">
        <f t="shared" si="6"/>
        <v>0</v>
      </c>
      <c r="P164" s="80"/>
      <c r="Q164" s="35"/>
    </row>
    <row r="165">
      <c r="A165" s="45"/>
      <c r="B165" s="45"/>
      <c r="C165" s="109"/>
      <c r="D165" s="110" t="s">
        <v>33</v>
      </c>
      <c r="E165" s="113">
        <v>0.0</v>
      </c>
      <c r="F165" s="112"/>
      <c r="G165" s="113">
        <v>0.0</v>
      </c>
      <c r="H165" s="112"/>
      <c r="I165" s="113">
        <v>100000.0</v>
      </c>
      <c r="J165" s="112"/>
      <c r="K165" s="113">
        <v>22770.0</v>
      </c>
      <c r="L165" s="112"/>
      <c r="M165" s="111">
        <f>857</f>
        <v>857</v>
      </c>
      <c r="N165" s="114"/>
      <c r="O165" s="111">
        <f t="shared" si="6"/>
        <v>123627</v>
      </c>
      <c r="P165" s="114"/>
      <c r="Q165" s="35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6"/>
      <c r="O167" s="116"/>
      <c r="P167" s="116"/>
      <c r="Q167" s="19"/>
    </row>
    <row r="168">
      <c r="A168" s="10"/>
      <c r="B168" s="12"/>
      <c r="C168" s="13"/>
      <c r="D168" s="13"/>
      <c r="E168" s="13"/>
      <c r="F168" s="5"/>
      <c r="G168" s="5"/>
      <c r="H168" s="3" t="str">
        <f t="array" ref="H168">(INDIRECT("I" &amp; ROW() + 1)/INDIRECT("E" &amp; ROW() + 1))</f>
        <v>#DIV/0!</v>
      </c>
      <c r="I168" s="7"/>
      <c r="J168" s="5"/>
      <c r="K168" s="7"/>
      <c r="L168" s="4">
        <f t="array" ref="L168">(1 - INDIRECT("I" &amp; ROW()))</f>
        <v>1</v>
      </c>
      <c r="M168" s="5"/>
      <c r="N168" s="5"/>
      <c r="O168" s="5"/>
      <c r="P168" s="5"/>
      <c r="Q168" s="5"/>
    </row>
    <row r="169">
      <c r="A169" s="21"/>
      <c r="B169" s="22"/>
      <c r="C169" s="13"/>
      <c r="D169" s="24">
        <f>O189</f>
        <v>977350</v>
      </c>
      <c r="F169" s="5"/>
      <c r="H169" s="27">
        <f>O174</f>
        <v>1624209.5</v>
      </c>
      <c r="J169" s="5"/>
      <c r="K169" s="32">
        <f>D169-H169</f>
        <v>-646859.5</v>
      </c>
      <c r="M169" s="123">
        <v>1.0</v>
      </c>
      <c r="O169" s="5"/>
      <c r="P169" s="5"/>
      <c r="Q169" s="5"/>
    </row>
    <row r="170">
      <c r="A170" s="37"/>
      <c r="B170" s="37"/>
      <c r="C170" s="40" t="s">
        <v>1</v>
      </c>
      <c r="D170" s="42"/>
      <c r="E170" s="42"/>
      <c r="F170" s="42"/>
      <c r="G170" s="42"/>
      <c r="H170" s="40" t="s">
        <v>2</v>
      </c>
      <c r="I170" s="42"/>
      <c r="J170" s="18"/>
      <c r="K170" s="40" t="s">
        <v>3</v>
      </c>
      <c r="L170" s="42"/>
      <c r="M170" s="44" t="s">
        <v>14</v>
      </c>
      <c r="N170" s="42"/>
      <c r="O170" s="18"/>
      <c r="P170" s="18"/>
      <c r="Q170" s="18"/>
    </row>
    <row r="171">
      <c r="A171" s="19"/>
      <c r="B171" s="19"/>
      <c r="C171" s="19"/>
      <c r="D171" s="19"/>
      <c r="E171" s="19" t="s">
        <v>4</v>
      </c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>
      <c r="A172" s="45"/>
      <c r="B172" s="45"/>
      <c r="C172" s="198" t="s">
        <v>57</v>
      </c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9"/>
    </row>
    <row r="173">
      <c r="A173" s="45"/>
      <c r="B173" s="45"/>
      <c r="C173" s="29"/>
      <c r="D173" s="54" t="s">
        <v>6</v>
      </c>
      <c r="E173" s="57" t="s">
        <v>15</v>
      </c>
      <c r="G173" s="57" t="s">
        <v>16</v>
      </c>
      <c r="I173" s="57" t="s">
        <v>17</v>
      </c>
      <c r="K173" s="57" t="s">
        <v>18</v>
      </c>
      <c r="M173" s="57" t="s">
        <v>19</v>
      </c>
      <c r="N173" s="29"/>
      <c r="O173" s="57" t="s">
        <v>12</v>
      </c>
      <c r="P173" s="29"/>
      <c r="Q173" s="35"/>
    </row>
    <row r="174">
      <c r="A174" s="45"/>
      <c r="B174" s="45"/>
      <c r="C174" s="55"/>
      <c r="D174" s="64" t="s">
        <v>13</v>
      </c>
      <c r="E174" s="67">
        <f>SUM(E175:F188)</f>
        <v>155018</v>
      </c>
      <c r="F174" s="62"/>
      <c r="G174" s="67">
        <f>SUM(G175:H188)</f>
        <v>309706.5</v>
      </c>
      <c r="H174" s="62"/>
      <c r="I174" s="67">
        <f>SUM(I175:J188)</f>
        <v>1057466</v>
      </c>
      <c r="J174" s="62"/>
      <c r="K174" s="67">
        <f>SUM(K175:L188)</f>
        <v>102019</v>
      </c>
      <c r="L174" s="62"/>
      <c r="M174" s="67">
        <f>SUM(M175:M188)</f>
        <v>0</v>
      </c>
      <c r="N174" s="72"/>
      <c r="O174" s="67">
        <f t="shared" ref="O174:O193" si="7">SUM(E174:N174)</f>
        <v>1624209.5</v>
      </c>
      <c r="P174" s="72"/>
      <c r="Q174" s="35"/>
    </row>
    <row r="175">
      <c r="A175" s="45"/>
      <c r="B175" s="45"/>
      <c r="C175" s="70"/>
      <c r="D175" s="77" t="s">
        <v>20</v>
      </c>
      <c r="E175" s="79">
        <v>0.0</v>
      </c>
      <c r="F175" s="75"/>
      <c r="G175" s="81">
        <f>280407-80203</f>
        <v>200204</v>
      </c>
      <c r="H175" s="75"/>
      <c r="I175" s="81">
        <v>0.0</v>
      </c>
      <c r="J175" s="75"/>
      <c r="K175" s="81">
        <v>0.0</v>
      </c>
      <c r="L175" s="75"/>
      <c r="M175" s="81">
        <v>0.0</v>
      </c>
      <c r="N175" s="80"/>
      <c r="O175" s="83">
        <f t="shared" si="7"/>
        <v>200204</v>
      </c>
      <c r="P175" s="80"/>
      <c r="Q175" s="35"/>
    </row>
    <row r="176">
      <c r="A176" s="45"/>
      <c r="B176" s="45"/>
      <c r="C176" s="70"/>
      <c r="D176" s="77" t="s">
        <v>21</v>
      </c>
      <c r="E176" s="81">
        <f>489+4893+2066+2900+600+1099+1849</f>
        <v>13896</v>
      </c>
      <c r="F176" s="75"/>
      <c r="G176" s="79">
        <f>2283+1216+2240+6345+727+3882+3501/2+649+378+600+2470</f>
        <v>22540.5</v>
      </c>
      <c r="H176" s="75"/>
      <c r="I176" s="81">
        <f>3890+278+4955+3198+793+2240+1598+600+990+3000+899</f>
        <v>22441</v>
      </c>
      <c r="J176" s="75"/>
      <c r="K176" s="81">
        <f>809+489+2178+600+4303+1366+199+600+1428+874+1253+968</f>
        <v>15067</v>
      </c>
      <c r="L176" s="75"/>
      <c r="M176" s="81">
        <v>0.0</v>
      </c>
      <c r="N176" s="80"/>
      <c r="O176" s="83">
        <f t="shared" si="7"/>
        <v>73944.5</v>
      </c>
      <c r="P176" s="80"/>
      <c r="Q176" s="35"/>
    </row>
    <row r="177">
      <c r="A177" s="45"/>
      <c r="B177" s="45"/>
      <c r="C177" s="70"/>
      <c r="D177" s="87" t="s">
        <v>22</v>
      </c>
      <c r="E177" s="81">
        <f>10498+1528+6399</f>
        <v>18425</v>
      </c>
      <c r="F177" s="75"/>
      <c r="G177" s="81">
        <f>860+2362</f>
        <v>3222</v>
      </c>
      <c r="H177" s="75"/>
      <c r="I177" s="81">
        <f>1890+1203</f>
        <v>3093</v>
      </c>
      <c r="J177" s="75"/>
      <c r="K177" s="81">
        <v>0.0</v>
      </c>
      <c r="L177" s="75"/>
      <c r="M177" s="81">
        <v>0.0</v>
      </c>
      <c r="N177" s="80"/>
      <c r="O177" s="83">
        <f t="shared" si="7"/>
        <v>24740</v>
      </c>
      <c r="P177" s="80"/>
      <c r="Q177" s="35"/>
    </row>
    <row r="178">
      <c r="A178" s="45"/>
      <c r="B178" s="45"/>
      <c r="C178" s="70"/>
      <c r="D178" s="87" t="s">
        <v>23</v>
      </c>
      <c r="E178" s="81">
        <f>7125+6075+6500/2</f>
        <v>16450</v>
      </c>
      <c r="F178" s="75"/>
      <c r="G178" s="81">
        <f>8680/2+6468/2</f>
        <v>7574</v>
      </c>
      <c r="H178" s="75"/>
      <c r="I178" s="79">
        <f>7040+2890+4180</f>
        <v>14110</v>
      </c>
      <c r="J178" s="75"/>
      <c r="K178" s="81">
        <f>2790+16675/2+4180+680+11780/2+6600</f>
        <v>28477.5</v>
      </c>
      <c r="L178" s="75"/>
      <c r="M178" s="81">
        <v>0.0</v>
      </c>
      <c r="N178" s="80"/>
      <c r="O178" s="83">
        <f t="shared" si="7"/>
        <v>66611.5</v>
      </c>
      <c r="P178" s="80"/>
      <c r="Q178" s="35"/>
    </row>
    <row r="179">
      <c r="A179" s="45"/>
      <c r="B179" s="45"/>
      <c r="C179" s="70"/>
      <c r="D179" s="77" t="s">
        <v>24</v>
      </c>
      <c r="E179" s="81">
        <f>1150+1150+2290/2+1360/2+2300/2+2600/2</f>
        <v>6575</v>
      </c>
      <c r="F179" s="75"/>
      <c r="G179" s="81">
        <f>1150+2290/2+940+1300/2</f>
        <v>3885</v>
      </c>
      <c r="H179" s="75"/>
      <c r="I179" s="81">
        <f>2090/2+1150+1528+1050+1300</f>
        <v>6073</v>
      </c>
      <c r="J179" s="75"/>
      <c r="K179" s="81">
        <f>1150+1150+1150+2600/2</f>
        <v>4750</v>
      </c>
      <c r="L179" s="75"/>
      <c r="M179" s="81">
        <v>0.0</v>
      </c>
      <c r="N179" s="80"/>
      <c r="O179" s="83">
        <f t="shared" si="7"/>
        <v>21283</v>
      </c>
      <c r="P179" s="80"/>
      <c r="Q179" s="35"/>
    </row>
    <row r="180">
      <c r="A180" s="45"/>
      <c r="B180" s="45"/>
      <c r="C180" s="70"/>
      <c r="D180" s="77" t="s">
        <v>25</v>
      </c>
      <c r="E180" s="81">
        <f>3380</f>
        <v>3380</v>
      </c>
      <c r="F180" s="75"/>
      <c r="G180" s="79">
        <v>2190.0</v>
      </c>
      <c r="H180" s="75"/>
      <c r="I180" s="81">
        <v>0.0</v>
      </c>
      <c r="J180" s="75"/>
      <c r="K180" s="81">
        <v>0.0</v>
      </c>
      <c r="L180" s="75"/>
      <c r="M180" s="81">
        <v>0.0</v>
      </c>
      <c r="N180" s="80"/>
      <c r="O180" s="83">
        <f t="shared" si="7"/>
        <v>5570</v>
      </c>
      <c r="P180" s="80"/>
      <c r="Q180" s="35"/>
    </row>
    <row r="181">
      <c r="A181" s="45"/>
      <c r="B181" s="45"/>
      <c r="C181" s="70"/>
      <c r="D181" s="77" t="s">
        <v>26</v>
      </c>
      <c r="E181" s="81">
        <f>6000+3395</f>
        <v>9395</v>
      </c>
      <c r="F181" s="75"/>
      <c r="G181" s="81">
        <v>0.0</v>
      </c>
      <c r="H181" s="75"/>
      <c r="I181" s="79">
        <v>6000.0</v>
      </c>
      <c r="J181" s="75"/>
      <c r="K181" s="81">
        <v>6000.0</v>
      </c>
      <c r="L181" s="75"/>
      <c r="M181" s="81">
        <v>0.0</v>
      </c>
      <c r="N181" s="80"/>
      <c r="O181" s="83">
        <f t="shared" si="7"/>
        <v>21395</v>
      </c>
      <c r="P181" s="80"/>
      <c r="Q181" s="35"/>
    </row>
    <row r="182">
      <c r="A182" s="45"/>
      <c r="B182" s="45"/>
      <c r="C182" s="70"/>
      <c r="D182" s="77" t="s">
        <v>27</v>
      </c>
      <c r="E182" s="81">
        <f>2995+66152+3990</f>
        <v>73137</v>
      </c>
      <c r="F182" s="75"/>
      <c r="G182" s="81">
        <v>0.0</v>
      </c>
      <c r="H182" s="75"/>
      <c r="I182" s="81">
        <v>0.0</v>
      </c>
      <c r="J182" s="75"/>
      <c r="K182" s="81">
        <f>1675+15604+2000</f>
        <v>19279</v>
      </c>
      <c r="L182" s="75"/>
      <c r="M182" s="81">
        <v>0.0</v>
      </c>
      <c r="N182" s="200"/>
      <c r="O182" s="83">
        <f t="shared" si="7"/>
        <v>92416</v>
      </c>
      <c r="P182" s="80"/>
      <c r="Q182" s="35"/>
    </row>
    <row r="183">
      <c r="A183" s="45"/>
      <c r="B183" s="45"/>
      <c r="C183" s="70"/>
      <c r="D183" s="77" t="s">
        <v>28</v>
      </c>
      <c r="E183" s="83">
        <v>0.0</v>
      </c>
      <c r="F183" s="75"/>
      <c r="G183" s="81">
        <v>0.0</v>
      </c>
      <c r="H183" s="75"/>
      <c r="I183" s="81">
        <f>464896*2</f>
        <v>929792</v>
      </c>
      <c r="J183" s="75"/>
      <c r="K183" s="81">
        <v>0.0</v>
      </c>
      <c r="L183" s="75"/>
      <c r="M183" s="79">
        <v>0.0</v>
      </c>
      <c r="N183" s="80"/>
      <c r="O183" s="83">
        <f t="shared" si="7"/>
        <v>929792</v>
      </c>
      <c r="P183" s="80"/>
      <c r="Q183" s="35"/>
    </row>
    <row r="184">
      <c r="A184" s="45"/>
      <c r="B184" s="45"/>
      <c r="C184" s="70"/>
      <c r="D184" s="77" t="s">
        <v>29</v>
      </c>
      <c r="E184" s="79">
        <v>2290.0</v>
      </c>
      <c r="F184" s="75"/>
      <c r="G184" s="81">
        <v>0.0</v>
      </c>
      <c r="H184" s="75"/>
      <c r="I184" s="81">
        <v>0.0</v>
      </c>
      <c r="J184" s="75"/>
      <c r="K184" s="81">
        <f>8950+1878</f>
        <v>10828</v>
      </c>
      <c r="L184" s="75"/>
      <c r="M184" s="83">
        <v>0.0</v>
      </c>
      <c r="N184" s="80"/>
      <c r="O184" s="83">
        <f t="shared" si="7"/>
        <v>13118</v>
      </c>
      <c r="P184" s="80"/>
      <c r="Q184" s="35"/>
    </row>
    <row r="185">
      <c r="A185" s="45"/>
      <c r="B185" s="45"/>
      <c r="C185" s="70"/>
      <c r="D185" s="77" t="s">
        <v>30</v>
      </c>
      <c r="E185" s="81">
        <v>2245.0</v>
      </c>
      <c r="F185" s="75"/>
      <c r="G185" s="209">
        <v>2490.0</v>
      </c>
      <c r="H185" s="62"/>
      <c r="I185" s="81">
        <f>4122+4800</f>
        <v>8922</v>
      </c>
      <c r="J185" s="75"/>
      <c r="K185" s="81">
        <v>0.0</v>
      </c>
      <c r="L185" s="75"/>
      <c r="M185" s="81">
        <v>0.0</v>
      </c>
      <c r="N185" s="200"/>
      <c r="O185" s="83">
        <f t="shared" si="7"/>
        <v>13657</v>
      </c>
      <c r="P185" s="80"/>
      <c r="Q185" s="35"/>
    </row>
    <row r="186">
      <c r="A186" s="45"/>
      <c r="B186" s="45"/>
      <c r="C186" s="70"/>
      <c r="D186" s="89" t="s">
        <v>31</v>
      </c>
      <c r="E186" s="81">
        <f>2290/2+6500/2+1360/2+2300/2+2600/2</f>
        <v>7525</v>
      </c>
      <c r="F186" s="75"/>
      <c r="G186" s="81">
        <f>47572+2290/2+8680/2+6660/2+6468/2+1300/2</f>
        <v>60271</v>
      </c>
      <c r="H186" s="75"/>
      <c r="I186" s="81">
        <f>2090/2+1880/2+63830</f>
        <v>65815</v>
      </c>
      <c r="J186" s="75"/>
      <c r="K186" s="81">
        <f>2440-1150+16675/2+11780/2+2600/2</f>
        <v>16817.5</v>
      </c>
      <c r="L186" s="75"/>
      <c r="M186" s="81">
        <v>0.0</v>
      </c>
      <c r="N186" s="80"/>
      <c r="O186" s="83">
        <f t="shared" si="7"/>
        <v>150428.5</v>
      </c>
      <c r="P186" s="80"/>
      <c r="Q186" s="35"/>
    </row>
    <row r="187">
      <c r="A187" s="45"/>
      <c r="B187" s="45"/>
      <c r="C187" s="70"/>
      <c r="D187" s="77" t="s">
        <v>32</v>
      </c>
      <c r="E187" s="81">
        <v>0.0</v>
      </c>
      <c r="F187" s="75"/>
      <c r="G187" s="81">
        <f>(9660-3000)/2+3000</f>
        <v>6330</v>
      </c>
      <c r="H187" s="75"/>
      <c r="I187" s="81">
        <v>0.0</v>
      </c>
      <c r="J187" s="75"/>
      <c r="K187" s="81">
        <v>0.0</v>
      </c>
      <c r="L187" s="75"/>
      <c r="M187" s="81">
        <v>0.0</v>
      </c>
      <c r="N187" s="80"/>
      <c r="O187" s="83">
        <f t="shared" si="7"/>
        <v>6330</v>
      </c>
      <c r="P187" s="80"/>
      <c r="Q187" s="35"/>
    </row>
    <row r="188">
      <c r="A188" s="45"/>
      <c r="B188" s="45"/>
      <c r="C188" s="70"/>
      <c r="D188" s="77" t="s">
        <v>33</v>
      </c>
      <c r="E188" s="81">
        <f>800+900</f>
        <v>1700</v>
      </c>
      <c r="F188" s="75"/>
      <c r="G188" s="79">
        <v>1000.0</v>
      </c>
      <c r="H188" s="75"/>
      <c r="I188" s="81">
        <f>320+900</f>
        <v>1220</v>
      </c>
      <c r="J188" s="75"/>
      <c r="K188" s="81">
        <v>800.0</v>
      </c>
      <c r="L188" s="75"/>
      <c r="M188" s="81">
        <v>0.0</v>
      </c>
      <c r="N188" s="80"/>
      <c r="O188" s="83">
        <f t="shared" si="7"/>
        <v>4720</v>
      </c>
      <c r="P188" s="80"/>
      <c r="Q188" s="35"/>
    </row>
    <row r="189">
      <c r="A189" s="45"/>
      <c r="B189" s="45"/>
      <c r="C189" s="93"/>
      <c r="D189" s="94" t="s">
        <v>34</v>
      </c>
      <c r="E189" s="95">
        <f>SUM(E190:F193)</f>
        <v>977350</v>
      </c>
      <c r="F189" s="75"/>
      <c r="G189" s="95">
        <f>SUM(G190:G193)</f>
        <v>0</v>
      </c>
      <c r="H189" s="75"/>
      <c r="I189" s="95">
        <f>SUM(I190:I193)</f>
        <v>0</v>
      </c>
      <c r="J189" s="75"/>
      <c r="K189" s="95">
        <f>SUM(K190:K193)</f>
        <v>0</v>
      </c>
      <c r="L189" s="75"/>
      <c r="M189" s="95">
        <f>SUM(M190:M193)</f>
        <v>0</v>
      </c>
      <c r="N189" s="93"/>
      <c r="O189" s="95">
        <f t="shared" si="7"/>
        <v>977350</v>
      </c>
      <c r="P189" s="93"/>
      <c r="Q189" s="35"/>
    </row>
    <row r="190">
      <c r="A190" s="45"/>
      <c r="B190" s="45"/>
      <c r="C190" s="98"/>
      <c r="D190" s="77" t="s">
        <v>35</v>
      </c>
      <c r="E190" s="100">
        <v>945350.0</v>
      </c>
      <c r="F190" s="75"/>
      <c r="G190" s="81">
        <v>0.0</v>
      </c>
      <c r="H190" s="75"/>
      <c r="I190" s="81"/>
      <c r="J190" s="83">
        <v>0.0</v>
      </c>
      <c r="K190" s="83">
        <v>0.0</v>
      </c>
      <c r="L190" s="75"/>
      <c r="M190" s="83">
        <v>0.0</v>
      </c>
      <c r="N190" s="80"/>
      <c r="O190" s="83">
        <f t="shared" si="7"/>
        <v>945350</v>
      </c>
      <c r="P190" s="80"/>
      <c r="Q190" s="35"/>
    </row>
    <row r="191">
      <c r="A191" s="45"/>
      <c r="B191" s="45"/>
      <c r="C191" s="98"/>
      <c r="D191" s="77" t="s">
        <v>36</v>
      </c>
      <c r="E191" s="81">
        <v>0.0</v>
      </c>
      <c r="F191" s="75"/>
      <c r="G191" s="102"/>
      <c r="H191" s="83">
        <v>0.0</v>
      </c>
      <c r="I191" s="102"/>
      <c r="J191" s="83">
        <v>0.0</v>
      </c>
      <c r="K191" s="102"/>
      <c r="L191" s="83">
        <v>0.0</v>
      </c>
      <c r="M191" s="83">
        <v>0.0</v>
      </c>
      <c r="N191" s="80"/>
      <c r="O191" s="83">
        <f t="shared" si="7"/>
        <v>0</v>
      </c>
      <c r="P191" s="80"/>
      <c r="Q191" s="35"/>
    </row>
    <row r="192">
      <c r="A192" s="45"/>
      <c r="B192" s="45"/>
      <c r="C192" s="98"/>
      <c r="D192" s="77" t="s">
        <v>37</v>
      </c>
      <c r="E192" s="83">
        <v>0.0</v>
      </c>
      <c r="F192" s="75"/>
      <c r="G192" s="83">
        <v>0.0</v>
      </c>
      <c r="H192" s="75"/>
      <c r="I192" s="83">
        <v>0.0</v>
      </c>
      <c r="J192" s="75"/>
      <c r="K192" s="83">
        <v>0.0</v>
      </c>
      <c r="L192" s="75"/>
      <c r="M192" s="83">
        <v>0.0</v>
      </c>
      <c r="N192" s="80"/>
      <c r="O192" s="83">
        <f t="shared" si="7"/>
        <v>0</v>
      </c>
      <c r="P192" s="80"/>
      <c r="Q192" s="35"/>
    </row>
    <row r="193">
      <c r="A193" s="45"/>
      <c r="B193" s="45"/>
      <c r="C193" s="109"/>
      <c r="D193" s="110" t="s">
        <v>33</v>
      </c>
      <c r="E193" s="113">
        <v>32000.0</v>
      </c>
      <c r="F193" s="112"/>
      <c r="G193" s="113">
        <v>0.0</v>
      </c>
      <c r="H193" s="112"/>
      <c r="I193" s="113">
        <v>0.0</v>
      </c>
      <c r="J193" s="112"/>
      <c r="K193" s="113">
        <v>0.0</v>
      </c>
      <c r="L193" s="112"/>
      <c r="M193" s="111">
        <v>0.0</v>
      </c>
      <c r="N193" s="114"/>
      <c r="O193" s="111">
        <f t="shared" si="7"/>
        <v>32000</v>
      </c>
      <c r="P193" s="114"/>
      <c r="Q193" s="35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</row>
    <row r="195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6"/>
      <c r="O195" s="116"/>
      <c r="P195" s="116"/>
      <c r="Q195" s="19"/>
    </row>
    <row r="196">
      <c r="A196" s="10"/>
      <c r="B196" s="12"/>
      <c r="C196" s="13"/>
      <c r="D196" s="13"/>
      <c r="E196" s="13"/>
      <c r="F196" s="5"/>
      <c r="G196" s="5"/>
      <c r="H196" s="3" t="str">
        <f t="array" ref="H196">(INDIRECT("I" &amp; ROW() + 1)/INDIRECT("E" &amp; ROW() + 1))</f>
        <v>#DIV/0!</v>
      </c>
      <c r="I196" s="7"/>
      <c r="J196" s="5"/>
      <c r="K196" s="7"/>
      <c r="L196" s="4">
        <f t="array" ref="L196">(1 - INDIRECT("I" &amp; ROW()))</f>
        <v>1</v>
      </c>
      <c r="M196" s="5"/>
      <c r="N196" s="5"/>
      <c r="O196" s="5"/>
      <c r="P196" s="5"/>
      <c r="Q196" s="5"/>
    </row>
    <row r="197">
      <c r="A197" s="21"/>
      <c r="B197" s="22"/>
      <c r="C197" s="13"/>
      <c r="D197" s="24">
        <f>O217</f>
        <v>965335</v>
      </c>
      <c r="F197" s="5"/>
      <c r="H197" s="27">
        <f>O202</f>
        <v>594376</v>
      </c>
      <c r="J197" s="5"/>
      <c r="K197" s="32">
        <f>D197-H197</f>
        <v>370959</v>
      </c>
      <c r="M197" s="123">
        <v>1.0</v>
      </c>
      <c r="O197" s="5"/>
      <c r="P197" s="5"/>
      <c r="Q197" s="5"/>
    </row>
    <row r="198">
      <c r="A198" s="37"/>
      <c r="B198" s="37"/>
      <c r="C198" s="40" t="s">
        <v>1</v>
      </c>
      <c r="D198" s="42"/>
      <c r="E198" s="42"/>
      <c r="F198" s="42"/>
      <c r="G198" s="42"/>
      <c r="H198" s="40" t="s">
        <v>2</v>
      </c>
      <c r="I198" s="42"/>
      <c r="J198" s="18"/>
      <c r="K198" s="40" t="s">
        <v>3</v>
      </c>
      <c r="L198" s="42"/>
      <c r="M198" s="44" t="s">
        <v>14</v>
      </c>
      <c r="N198" s="42"/>
      <c r="O198" s="18"/>
      <c r="P198" s="18"/>
      <c r="Q198" s="18"/>
    </row>
    <row r="199">
      <c r="A199" s="19"/>
      <c r="B199" s="19"/>
      <c r="C199" s="19"/>
      <c r="D199" s="19"/>
      <c r="E199" s="19" t="s">
        <v>4</v>
      </c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</row>
    <row r="200">
      <c r="A200" s="45"/>
      <c r="B200" s="45"/>
      <c r="C200" s="198" t="s">
        <v>59</v>
      </c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9"/>
    </row>
    <row r="201">
      <c r="A201" s="45"/>
      <c r="B201" s="45"/>
      <c r="C201" s="29"/>
      <c r="D201" s="54" t="s">
        <v>6</v>
      </c>
      <c r="E201" s="57" t="s">
        <v>15</v>
      </c>
      <c r="G201" s="57" t="s">
        <v>16</v>
      </c>
      <c r="I201" s="57" t="s">
        <v>17</v>
      </c>
      <c r="K201" s="57" t="s">
        <v>18</v>
      </c>
      <c r="M201" s="57" t="s">
        <v>19</v>
      </c>
      <c r="N201" s="29"/>
      <c r="O201" s="57" t="s">
        <v>12</v>
      </c>
      <c r="P201" s="29"/>
      <c r="Q201" s="35"/>
    </row>
    <row r="202">
      <c r="A202" s="45"/>
      <c r="B202" s="45"/>
      <c r="C202" s="55"/>
      <c r="D202" s="64" t="s">
        <v>13</v>
      </c>
      <c r="E202" s="67">
        <f>SUM(E204:F216)</f>
        <v>47434</v>
      </c>
      <c r="F202" s="62"/>
      <c r="G202" s="67">
        <f>SUM(G203:H216)</f>
        <v>300266</v>
      </c>
      <c r="H202" s="62"/>
      <c r="I202" s="67">
        <f>SUM(I203:J216)</f>
        <v>111290</v>
      </c>
      <c r="J202" s="62"/>
      <c r="K202" s="67">
        <f>SUM(K203:L216)</f>
        <v>119805</v>
      </c>
      <c r="L202" s="62"/>
      <c r="M202" s="67">
        <f>SUM(M203:M216)</f>
        <v>15581</v>
      </c>
      <c r="N202" s="72"/>
      <c r="O202" s="67">
        <f t="shared" ref="O202:O221" si="8">SUM(E202:N202)</f>
        <v>594376</v>
      </c>
      <c r="P202" s="72"/>
      <c r="Q202" s="35"/>
    </row>
    <row r="203">
      <c r="A203" s="45"/>
      <c r="B203" s="45"/>
      <c r="C203" s="70"/>
      <c r="D203" s="77" t="s">
        <v>20</v>
      </c>
      <c r="E203" s="81">
        <v>0.0</v>
      </c>
      <c r="F203" s="75"/>
      <c r="G203" s="81">
        <f>285674-82837</f>
        <v>202837</v>
      </c>
      <c r="H203" s="75"/>
      <c r="I203" s="81">
        <v>0.0</v>
      </c>
      <c r="J203" s="75"/>
      <c r="K203" s="81">
        <v>0.0</v>
      </c>
      <c r="L203" s="75"/>
      <c r="M203" s="81">
        <v>0.0</v>
      </c>
      <c r="N203" s="80"/>
      <c r="O203" s="83">
        <f t="shared" si="8"/>
        <v>202837</v>
      </c>
      <c r="P203" s="80"/>
      <c r="Q203" s="35"/>
    </row>
    <row r="204">
      <c r="A204" s="45"/>
      <c r="B204" s="45"/>
      <c r="C204" s="70"/>
      <c r="D204" s="77" t="s">
        <v>21</v>
      </c>
      <c r="E204" s="79">
        <f>1049+984+1295+600+698+1219+1408+1798+2295+3961+2107+600+4064</f>
        <v>22078</v>
      </c>
      <c r="F204" s="75"/>
      <c r="G204" s="79">
        <f>1499+4060+2856+949+419+4366+600+2422+2948</f>
        <v>20119</v>
      </c>
      <c r="H204" s="75"/>
      <c r="I204" s="81">
        <f>3936++1793+500+120+900</f>
        <v>7249</v>
      </c>
      <c r="J204" s="75"/>
      <c r="K204" s="81">
        <f>2653+648+1526+4909+1595+1700+656+480+600+3045+1767</f>
        <v>19579</v>
      </c>
      <c r="L204" s="75"/>
      <c r="M204" s="81">
        <f>2010+1122+1849+3497+633</f>
        <v>9111</v>
      </c>
      <c r="N204" s="80"/>
      <c r="O204" s="83">
        <f t="shared" si="8"/>
        <v>78136</v>
      </c>
      <c r="P204" s="80"/>
      <c r="Q204" s="35"/>
    </row>
    <row r="205">
      <c r="A205" s="45"/>
      <c r="B205" s="45"/>
      <c r="C205" s="70"/>
      <c r="D205" s="87" t="s">
        <v>22</v>
      </c>
      <c r="E205" s="81">
        <v>5200.0</v>
      </c>
      <c r="F205" s="75"/>
      <c r="G205" s="81">
        <f>4280+2600+1736</f>
        <v>8616</v>
      </c>
      <c r="H205" s="75"/>
      <c r="I205" s="81">
        <f>299+299+399+2047</f>
        <v>3044</v>
      </c>
      <c r="J205" s="75"/>
      <c r="K205" s="81">
        <f>1528+1483</f>
        <v>3011</v>
      </c>
      <c r="L205" s="75"/>
      <c r="M205" s="81">
        <v>0.0</v>
      </c>
      <c r="N205" s="80"/>
      <c r="O205" s="83">
        <f t="shared" si="8"/>
        <v>19871</v>
      </c>
      <c r="P205" s="80"/>
      <c r="Q205" s="35"/>
    </row>
    <row r="206">
      <c r="A206" s="45"/>
      <c r="B206" s="45"/>
      <c r="C206" s="70"/>
      <c r="D206" s="202" t="s">
        <v>23</v>
      </c>
      <c r="E206" s="81">
        <v>2421.0</v>
      </c>
      <c r="F206" s="75"/>
      <c r="G206" s="81">
        <f>680+2965</f>
        <v>3645</v>
      </c>
      <c r="H206" s="75"/>
      <c r="I206" s="79">
        <f>2890+1470/2+3140+1700+3601+3149</f>
        <v>15215</v>
      </c>
      <c r="J206" s="75"/>
      <c r="K206" s="81">
        <f>2890+8360/2</f>
        <v>7070</v>
      </c>
      <c r="L206" s="75"/>
      <c r="M206" s="81">
        <v>4180.0</v>
      </c>
      <c r="N206" s="80"/>
      <c r="O206" s="83">
        <f t="shared" si="8"/>
        <v>32531</v>
      </c>
      <c r="P206" s="80"/>
      <c r="Q206" s="35"/>
    </row>
    <row r="207">
      <c r="A207" s="45"/>
      <c r="B207" s="45"/>
      <c r="C207" s="70"/>
      <c r="D207" s="77" t="s">
        <v>24</v>
      </c>
      <c r="E207" s="81">
        <f>1050+990+1150+940</f>
        <v>4130</v>
      </c>
      <c r="F207" s="75"/>
      <c r="G207" s="81">
        <f>1150+1150+1300+1150+1150</f>
        <v>5900</v>
      </c>
      <c r="H207" s="75"/>
      <c r="I207" s="81">
        <f>2390+2180/2+1740/2+4781/2+1249+2600/2+1150+2290/2</f>
        <v>11584.5</v>
      </c>
      <c r="J207" s="75"/>
      <c r="K207" s="81">
        <f>850+1290+1150</f>
        <v>3290</v>
      </c>
      <c r="L207" s="75"/>
      <c r="M207" s="81">
        <f>2290/2</f>
        <v>1145</v>
      </c>
      <c r="N207" s="80"/>
      <c r="O207" s="83">
        <f t="shared" si="8"/>
        <v>26049.5</v>
      </c>
      <c r="P207" s="80"/>
      <c r="Q207" s="35"/>
    </row>
    <row r="208">
      <c r="A208" s="45"/>
      <c r="B208" s="45"/>
      <c r="C208" s="70"/>
      <c r="D208" s="77" t="s">
        <v>25</v>
      </c>
      <c r="E208" s="81">
        <v>0.0</v>
      </c>
      <c r="F208" s="75"/>
      <c r="G208" s="79">
        <v>0.0</v>
      </c>
      <c r="H208" s="75"/>
      <c r="I208" s="81">
        <v>0.0</v>
      </c>
      <c r="J208" s="75"/>
      <c r="K208" s="81">
        <v>0.0</v>
      </c>
      <c r="L208" s="75"/>
      <c r="M208" s="81">
        <v>0.0</v>
      </c>
      <c r="N208" s="80"/>
      <c r="O208" s="83">
        <f t="shared" si="8"/>
        <v>0</v>
      </c>
      <c r="P208" s="80"/>
      <c r="Q208" s="35"/>
    </row>
    <row r="209">
      <c r="A209" s="45"/>
      <c r="B209" s="45"/>
      <c r="C209" s="70"/>
      <c r="D209" s="77" t="s">
        <v>26</v>
      </c>
      <c r="E209" s="81">
        <f>6000+270</f>
        <v>6270</v>
      </c>
      <c r="F209" s="75"/>
      <c r="G209" s="81">
        <f>2469</f>
        <v>2469</v>
      </c>
      <c r="H209" s="75"/>
      <c r="I209" s="79">
        <v>6000.0</v>
      </c>
      <c r="J209" s="75"/>
      <c r="K209" s="81">
        <v>0.0</v>
      </c>
      <c r="L209" s="75"/>
      <c r="M209" s="81">
        <v>0.0</v>
      </c>
      <c r="N209" s="80"/>
      <c r="O209" s="83">
        <f t="shared" si="8"/>
        <v>14739</v>
      </c>
      <c r="P209" s="80"/>
      <c r="Q209" s="35"/>
    </row>
    <row r="210">
      <c r="A210" s="45"/>
      <c r="B210" s="45"/>
      <c r="C210" s="70"/>
      <c r="D210" s="77" t="s">
        <v>27</v>
      </c>
      <c r="E210" s="81">
        <v>0.0</v>
      </c>
      <c r="F210" s="75"/>
      <c r="G210" s="81">
        <v>0.0</v>
      </c>
      <c r="H210" s="75"/>
      <c r="I210" s="81">
        <f>1995+8642</f>
        <v>10637</v>
      </c>
      <c r="J210" s="75"/>
      <c r="K210" s="81">
        <v>0.0</v>
      </c>
      <c r="L210" s="75"/>
      <c r="M210" s="81">
        <v>0.0</v>
      </c>
      <c r="N210" s="80"/>
      <c r="O210" s="83">
        <f t="shared" si="8"/>
        <v>10637</v>
      </c>
      <c r="P210" s="80"/>
      <c r="Q210" s="35"/>
    </row>
    <row r="211">
      <c r="A211" s="45"/>
      <c r="B211" s="45"/>
      <c r="C211" s="70"/>
      <c r="D211" s="77" t="s">
        <v>28</v>
      </c>
      <c r="E211" s="83">
        <v>0.0</v>
      </c>
      <c r="F211" s="75"/>
      <c r="G211" s="81">
        <v>0.0</v>
      </c>
      <c r="H211" s="75"/>
      <c r="I211" s="81">
        <v>0.0</v>
      </c>
      <c r="J211" s="75"/>
      <c r="K211" s="81">
        <v>0.0</v>
      </c>
      <c r="L211" s="75"/>
      <c r="M211" s="79">
        <v>0.0</v>
      </c>
      <c r="N211" s="80"/>
      <c r="O211" s="83">
        <f t="shared" si="8"/>
        <v>0</v>
      </c>
      <c r="P211" s="80"/>
      <c r="Q211" s="35"/>
    </row>
    <row r="212">
      <c r="A212" s="45"/>
      <c r="B212" s="45"/>
      <c r="C212" s="70"/>
      <c r="D212" s="77" t="s">
        <v>29</v>
      </c>
      <c r="E212" s="79">
        <v>0.0</v>
      </c>
      <c r="F212" s="75"/>
      <c r="G212" s="81">
        <f>1333</f>
        <v>1333</v>
      </c>
      <c r="H212" s="75"/>
      <c r="I212" s="81">
        <v>0.0</v>
      </c>
      <c r="J212" s="75"/>
      <c r="K212" s="81">
        <v>8950.0</v>
      </c>
      <c r="L212" s="75"/>
      <c r="M212" s="83">
        <v>0.0</v>
      </c>
      <c r="N212" s="80"/>
      <c r="O212" s="83">
        <f t="shared" si="8"/>
        <v>10283</v>
      </c>
      <c r="P212" s="80"/>
      <c r="Q212" s="35"/>
    </row>
    <row r="213">
      <c r="A213" s="45"/>
      <c r="B213" s="45"/>
      <c r="C213" s="70"/>
      <c r="D213" s="77" t="s">
        <v>30</v>
      </c>
      <c r="E213" s="81">
        <v>2245.0</v>
      </c>
      <c r="F213" s="75"/>
      <c r="G213" s="81">
        <f>2490</f>
        <v>2490</v>
      </c>
      <c r="H213" s="75"/>
      <c r="I213" s="81">
        <f>3728+4800</f>
        <v>8528</v>
      </c>
      <c r="J213" s="75"/>
      <c r="K213" s="81">
        <v>1990.0</v>
      </c>
      <c r="L213" s="75"/>
      <c r="M213" s="81">
        <v>0.0</v>
      </c>
      <c r="N213" s="200"/>
      <c r="O213" s="83">
        <f t="shared" si="8"/>
        <v>15253</v>
      </c>
      <c r="P213" s="80"/>
      <c r="Q213" s="35"/>
    </row>
    <row r="214">
      <c r="A214" s="45"/>
      <c r="B214" s="45"/>
      <c r="C214" s="70"/>
      <c r="D214" s="89" t="s">
        <v>31</v>
      </c>
      <c r="E214" s="81">
        <f>990</f>
        <v>990</v>
      </c>
      <c r="F214" s="75"/>
      <c r="G214" s="81">
        <f>15718+15831+1300</f>
        <v>32849</v>
      </c>
      <c r="H214" s="75"/>
      <c r="I214" s="81">
        <f>2180/2+1470/2+1740/2+39602+4781/2+2600/2+2290/2</f>
        <v>47132.5</v>
      </c>
      <c r="J214" s="75"/>
      <c r="K214" s="81">
        <f>8360/2+31595+39340</f>
        <v>75115</v>
      </c>
      <c r="L214" s="75"/>
      <c r="M214" s="81">
        <f>2290/2</f>
        <v>1145</v>
      </c>
      <c r="N214" s="80"/>
      <c r="O214" s="83">
        <f t="shared" si="8"/>
        <v>157231.5</v>
      </c>
      <c r="P214" s="80"/>
      <c r="Q214" s="35"/>
    </row>
    <row r="215">
      <c r="A215" s="45"/>
      <c r="B215" s="45"/>
      <c r="C215" s="70"/>
      <c r="D215" s="77" t="s">
        <v>32</v>
      </c>
      <c r="E215" s="81">
        <v>0.0</v>
      </c>
      <c r="F215" s="75"/>
      <c r="G215" s="81">
        <v>0.0</v>
      </c>
      <c r="H215" s="75"/>
      <c r="I215" s="81">
        <v>0.0</v>
      </c>
      <c r="J215" s="75"/>
      <c r="K215" s="81">
        <v>0.0</v>
      </c>
      <c r="L215" s="75"/>
      <c r="M215" s="81">
        <v>0.0</v>
      </c>
      <c r="N215" s="80"/>
      <c r="O215" s="83">
        <f t="shared" si="8"/>
        <v>0</v>
      </c>
      <c r="P215" s="80"/>
      <c r="Q215" s="35"/>
    </row>
    <row r="216">
      <c r="A216" s="45"/>
      <c r="B216" s="45"/>
      <c r="C216" s="70"/>
      <c r="D216" s="77" t="s">
        <v>33</v>
      </c>
      <c r="E216" s="81">
        <f>600+800+2700</f>
        <v>4100</v>
      </c>
      <c r="F216" s="75"/>
      <c r="G216" s="79">
        <f>8408+11600</f>
        <v>20008</v>
      </c>
      <c r="H216" s="75"/>
      <c r="I216" s="81">
        <v>1900.0</v>
      </c>
      <c r="J216" s="75"/>
      <c r="K216" s="81">
        <f>800</f>
        <v>800</v>
      </c>
      <c r="L216" s="75"/>
      <c r="M216" s="81">
        <v>0.0</v>
      </c>
      <c r="N216" s="80"/>
      <c r="O216" s="83">
        <f t="shared" si="8"/>
        <v>26808</v>
      </c>
      <c r="P216" s="80"/>
      <c r="Q216" s="35"/>
    </row>
    <row r="217">
      <c r="A217" s="45"/>
      <c r="B217" s="45"/>
      <c r="C217" s="93"/>
      <c r="D217" s="94" t="s">
        <v>34</v>
      </c>
      <c r="E217" s="95">
        <f>SUM(E218:F221)</f>
        <v>965335</v>
      </c>
      <c r="F217" s="75"/>
      <c r="G217" s="95">
        <f>SUM(G218:G221)</f>
        <v>0</v>
      </c>
      <c r="H217" s="75"/>
      <c r="I217" s="95">
        <f>SUM(I218:I221)</f>
        <v>0</v>
      </c>
      <c r="J217" s="75"/>
      <c r="K217" s="95">
        <f>SUM(K218:K221)</f>
        <v>0</v>
      </c>
      <c r="L217" s="75"/>
      <c r="M217" s="95">
        <f>SUM(M218:M221)</f>
        <v>0</v>
      </c>
      <c r="N217" s="93"/>
      <c r="O217" s="95">
        <f t="shared" si="8"/>
        <v>965335</v>
      </c>
      <c r="P217" s="93"/>
      <c r="Q217" s="35"/>
    </row>
    <row r="218">
      <c r="A218" s="45"/>
      <c r="B218" s="45"/>
      <c r="C218" s="98"/>
      <c r="D218" s="77" t="s">
        <v>35</v>
      </c>
      <c r="E218" s="100">
        <v>944335.0</v>
      </c>
      <c r="F218" s="75"/>
      <c r="G218" s="81">
        <v>0.0</v>
      </c>
      <c r="H218" s="75"/>
      <c r="I218" s="81"/>
      <c r="J218" s="83">
        <v>0.0</v>
      </c>
      <c r="K218" s="83">
        <v>0.0</v>
      </c>
      <c r="L218" s="75"/>
      <c r="M218" s="83">
        <v>0.0</v>
      </c>
      <c r="N218" s="80"/>
      <c r="O218" s="83">
        <f t="shared" si="8"/>
        <v>944335</v>
      </c>
      <c r="P218" s="80"/>
      <c r="Q218" s="35"/>
    </row>
    <row r="219">
      <c r="A219" s="45"/>
      <c r="B219" s="45"/>
      <c r="C219" s="98"/>
      <c r="D219" s="77" t="s">
        <v>36</v>
      </c>
      <c r="E219" s="81">
        <v>0.0</v>
      </c>
      <c r="F219" s="75"/>
      <c r="G219" s="102"/>
      <c r="H219" s="83">
        <v>0.0</v>
      </c>
      <c r="I219" s="102"/>
      <c r="J219" s="83">
        <v>0.0</v>
      </c>
      <c r="K219" s="102"/>
      <c r="L219" s="83">
        <v>0.0</v>
      </c>
      <c r="M219" s="83">
        <v>0.0</v>
      </c>
      <c r="N219" s="80"/>
      <c r="O219" s="83">
        <f t="shared" si="8"/>
        <v>0</v>
      </c>
      <c r="P219" s="80"/>
      <c r="Q219" s="35"/>
    </row>
    <row r="220">
      <c r="A220" s="45"/>
      <c r="B220" s="45"/>
      <c r="C220" s="98"/>
      <c r="D220" s="77" t="s">
        <v>37</v>
      </c>
      <c r="E220" s="83">
        <v>0.0</v>
      </c>
      <c r="F220" s="75"/>
      <c r="G220" s="83">
        <v>0.0</v>
      </c>
      <c r="H220" s="75"/>
      <c r="I220" s="83">
        <v>0.0</v>
      </c>
      <c r="J220" s="75"/>
      <c r="K220" s="83">
        <v>0.0</v>
      </c>
      <c r="L220" s="75"/>
      <c r="M220" s="83">
        <v>0.0</v>
      </c>
      <c r="N220" s="80"/>
      <c r="O220" s="83">
        <f t="shared" si="8"/>
        <v>0</v>
      </c>
      <c r="P220" s="80"/>
      <c r="Q220" s="35"/>
    </row>
    <row r="221">
      <c r="A221" s="45"/>
      <c r="B221" s="45"/>
      <c r="C221" s="109"/>
      <c r="D221" s="110" t="s">
        <v>33</v>
      </c>
      <c r="E221" s="113">
        <v>21000.0</v>
      </c>
      <c r="F221" s="112"/>
      <c r="G221" s="113">
        <v>0.0</v>
      </c>
      <c r="H221" s="112"/>
      <c r="I221" s="113">
        <v>0.0</v>
      </c>
      <c r="J221" s="112"/>
      <c r="K221" s="113">
        <v>0.0</v>
      </c>
      <c r="L221" s="112"/>
      <c r="M221" s="111">
        <v>0.0</v>
      </c>
      <c r="N221" s="114"/>
      <c r="O221" s="111">
        <f t="shared" si="8"/>
        <v>21000</v>
      </c>
      <c r="P221" s="114"/>
      <c r="Q221" s="35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</row>
    <row r="223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</row>
    <row r="224">
      <c r="A224" s="10"/>
      <c r="B224" s="12"/>
      <c r="C224" s="13"/>
      <c r="D224" s="13"/>
      <c r="E224" s="13"/>
      <c r="F224" s="5"/>
      <c r="G224" s="5"/>
      <c r="H224" s="3" t="str">
        <f t="array" ref="H224">(INDIRECT("I" &amp; ROW() + 1)/INDIRECT("D" &amp; ROW() + 1))</f>
        <v>#DIV/0!</v>
      </c>
      <c r="J224" s="5"/>
      <c r="K224" s="4">
        <f t="array" ref="K224">(1 - INDIRECT("I" &amp; ROW()))</f>
        <v>1</v>
      </c>
      <c r="M224" s="5"/>
      <c r="N224" s="5"/>
      <c r="O224" s="5"/>
      <c r="P224" s="5"/>
      <c r="Q224" s="5"/>
    </row>
    <row r="225">
      <c r="A225" s="21"/>
      <c r="B225" s="22"/>
      <c r="C225" s="24">
        <f>O245</f>
        <v>945535</v>
      </c>
      <c r="F225" s="5"/>
      <c r="H225" s="27">
        <f>O230</f>
        <v>1235863</v>
      </c>
      <c r="J225" s="5"/>
      <c r="K225" s="32">
        <f>C225-H225</f>
        <v>-290328</v>
      </c>
      <c r="M225" s="123">
        <v>0.0</v>
      </c>
      <c r="O225" s="5"/>
      <c r="P225" s="5"/>
      <c r="Q225" s="5"/>
    </row>
    <row r="226">
      <c r="A226" s="37"/>
      <c r="B226" s="37"/>
      <c r="C226" s="40" t="s">
        <v>1</v>
      </c>
      <c r="D226" s="42"/>
      <c r="E226" s="42"/>
      <c r="F226" s="42"/>
      <c r="G226" s="42"/>
      <c r="H226" s="40" t="s">
        <v>2</v>
      </c>
      <c r="I226" s="42"/>
      <c r="J226" s="18"/>
      <c r="K226" s="40" t="s">
        <v>3</v>
      </c>
      <c r="L226" s="42"/>
      <c r="M226" s="44" t="s">
        <v>14</v>
      </c>
      <c r="N226" s="42"/>
      <c r="O226" s="18"/>
      <c r="P226" s="18"/>
      <c r="Q226" s="18"/>
    </row>
    <row r="227">
      <c r="A227" s="19"/>
      <c r="B227" s="19"/>
      <c r="C227" s="19"/>
      <c r="D227" s="19"/>
      <c r="E227" s="19" t="s">
        <v>4</v>
      </c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</row>
    <row r="228">
      <c r="A228" s="45"/>
      <c r="B228" s="45"/>
      <c r="C228" s="198" t="s">
        <v>60</v>
      </c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9"/>
    </row>
    <row r="229">
      <c r="A229" s="45"/>
      <c r="B229" s="45"/>
      <c r="C229" s="29"/>
      <c r="D229" s="54" t="s">
        <v>6</v>
      </c>
      <c r="E229" s="57" t="s">
        <v>15</v>
      </c>
      <c r="G229" s="57" t="s">
        <v>16</v>
      </c>
      <c r="I229" s="57" t="s">
        <v>17</v>
      </c>
      <c r="K229" s="57" t="s">
        <v>18</v>
      </c>
      <c r="M229" s="57" t="s">
        <v>19</v>
      </c>
      <c r="N229" s="29"/>
      <c r="O229" s="57" t="s">
        <v>12</v>
      </c>
      <c r="P229" s="29"/>
      <c r="Q229" s="35"/>
    </row>
    <row r="230">
      <c r="A230" s="45"/>
      <c r="B230" s="45"/>
      <c r="C230" s="55"/>
      <c r="D230" s="64" t="s">
        <v>13</v>
      </c>
      <c r="E230" s="67">
        <f>SUM(E231:F244)</f>
        <v>92999.5</v>
      </c>
      <c r="F230" s="62"/>
      <c r="G230" s="67">
        <f>SUM(G231:H244)</f>
        <v>335944</v>
      </c>
      <c r="H230" s="62"/>
      <c r="I230" s="67">
        <f>SUM(I231:J244)</f>
        <v>547467.5</v>
      </c>
      <c r="J230" s="62"/>
      <c r="K230" s="67">
        <f>SUM(K231:L244)</f>
        <v>155940</v>
      </c>
      <c r="L230" s="62"/>
      <c r="M230" s="67">
        <f>SUM(M231:M244)</f>
        <v>103512</v>
      </c>
      <c r="N230" s="72"/>
      <c r="O230" s="67">
        <f t="shared" ref="O230:O249" si="9">SUM(E230:N230)</f>
        <v>1235863</v>
      </c>
      <c r="P230" s="72"/>
      <c r="Q230" s="35"/>
    </row>
    <row r="231">
      <c r="A231" s="45"/>
      <c r="B231" s="45"/>
      <c r="C231" s="70"/>
      <c r="D231" s="77" t="s">
        <v>20</v>
      </c>
      <c r="E231" s="79">
        <v>0.0</v>
      </c>
      <c r="F231" s="75"/>
      <c r="G231" s="81">
        <f>285674-79445</f>
        <v>206229</v>
      </c>
      <c r="H231" s="75"/>
      <c r="I231" s="81">
        <v>0.0</v>
      </c>
      <c r="J231" s="75"/>
      <c r="K231" s="81">
        <v>0.0</v>
      </c>
      <c r="L231" s="75"/>
      <c r="M231" s="81">
        <v>0.0</v>
      </c>
      <c r="N231" s="80"/>
      <c r="O231" s="83">
        <f t="shared" si="9"/>
        <v>206229</v>
      </c>
      <c r="P231" s="80"/>
      <c r="Q231" s="35"/>
    </row>
    <row r="232">
      <c r="A232" s="45"/>
      <c r="B232" s="45"/>
      <c r="C232" s="70"/>
      <c r="D232" s="77" t="s">
        <v>21</v>
      </c>
      <c r="E232" s="81">
        <f>594+2085.5+1923+5033+6607</f>
        <v>16242.5</v>
      </c>
      <c r="F232" s="75"/>
      <c r="G232" s="79">
        <f>650+676+4077+349+1256+899+2692+889+3712+398+3635</f>
        <v>19233</v>
      </c>
      <c r="H232" s="75"/>
      <c r="I232" s="81">
        <f>9995+650+2832+2759/2+3152/2+1236/2</f>
        <v>17050.5</v>
      </c>
      <c r="J232" s="75"/>
      <c r="K232" s="81">
        <f>696+349+3415+549+1555+650+1987+9098</f>
        <v>18299</v>
      </c>
      <c r="L232" s="75"/>
      <c r="M232" s="81">
        <v>0.0</v>
      </c>
      <c r="N232" s="80"/>
      <c r="O232" s="83">
        <f t="shared" si="9"/>
        <v>70825</v>
      </c>
      <c r="P232" s="80"/>
      <c r="Q232" s="35"/>
    </row>
    <row r="233">
      <c r="A233" s="45"/>
      <c r="B233" s="45"/>
      <c r="C233" s="70"/>
      <c r="D233" s="87" t="s">
        <v>22</v>
      </c>
      <c r="E233" s="81">
        <f>698</f>
        <v>698</v>
      </c>
      <c r="F233" s="75"/>
      <c r="G233" s="81">
        <f>299+2797</f>
        <v>3096</v>
      </c>
      <c r="H233" s="75"/>
      <c r="I233" s="81">
        <f>1676</f>
        <v>1676</v>
      </c>
      <c r="J233" s="75"/>
      <c r="K233" s="81">
        <f>1200+699+2500</f>
        <v>4399</v>
      </c>
      <c r="L233" s="75"/>
      <c r="M233" s="81">
        <v>0.0</v>
      </c>
      <c r="N233" s="80"/>
      <c r="O233" s="83">
        <f t="shared" si="9"/>
        <v>9869</v>
      </c>
      <c r="P233" s="80"/>
      <c r="Q233" s="35"/>
    </row>
    <row r="234">
      <c r="A234" s="45"/>
      <c r="B234" s="45"/>
      <c r="C234" s="70"/>
      <c r="D234" s="87" t="s">
        <v>23</v>
      </c>
      <c r="E234" s="81">
        <f>1360/2+2890+3050+2490</f>
        <v>9110</v>
      </c>
      <c r="F234" s="75"/>
      <c r="G234" s="81">
        <f>21868/2</f>
        <v>10934</v>
      </c>
      <c r="H234" s="75"/>
      <c r="I234" s="79">
        <f>2993+2750+850+2580</f>
        <v>9173</v>
      </c>
      <c r="J234" s="75"/>
      <c r="K234" s="81">
        <f>680+1299+291+3133+3250+3190+4141</f>
        <v>15984</v>
      </c>
      <c r="L234" s="75"/>
      <c r="M234" s="81">
        <v>0.0</v>
      </c>
      <c r="N234" s="80"/>
      <c r="O234" s="83">
        <f t="shared" si="9"/>
        <v>45201</v>
      </c>
      <c r="P234" s="80"/>
      <c r="Q234" s="35"/>
    </row>
    <row r="235">
      <c r="A235" s="45"/>
      <c r="B235" s="45"/>
      <c r="C235" s="70"/>
      <c r="D235" s="77" t="s">
        <v>24</v>
      </c>
      <c r="E235" s="81">
        <f>1150+940+1798</f>
        <v>3888</v>
      </c>
      <c r="F235" s="75"/>
      <c r="G235" s="81">
        <f>1300+1150+1150+2700/2+2300/2</f>
        <v>6100</v>
      </c>
      <c r="H235" s="75"/>
      <c r="I235" s="79">
        <f>2600/2+1150+1150+1150+4224/2</f>
        <v>6862</v>
      </c>
      <c r="J235" s="75"/>
      <c r="K235" s="81">
        <f>1150+1300+1150</f>
        <v>3600</v>
      </c>
      <c r="L235" s="75"/>
      <c r="M235" s="81">
        <v>0.0</v>
      </c>
      <c r="N235" s="80"/>
      <c r="O235" s="83">
        <f t="shared" si="9"/>
        <v>20450</v>
      </c>
      <c r="P235" s="80"/>
      <c r="Q235" s="35"/>
    </row>
    <row r="236">
      <c r="A236" s="45"/>
      <c r="B236" s="45"/>
      <c r="C236" s="70"/>
      <c r="D236" s="77" t="s">
        <v>25</v>
      </c>
      <c r="E236" s="81">
        <v>0.0</v>
      </c>
      <c r="F236" s="75"/>
      <c r="G236" s="79">
        <v>0.0</v>
      </c>
      <c r="H236" s="75"/>
      <c r="I236" s="81">
        <f>178928</f>
        <v>178928</v>
      </c>
      <c r="J236" s="75"/>
      <c r="K236" s="81">
        <f>11990/2+       11980</f>
        <v>17975</v>
      </c>
      <c r="L236" s="75"/>
      <c r="M236" s="81">
        <v>0.0</v>
      </c>
      <c r="N236" s="80"/>
      <c r="O236" s="83">
        <f t="shared" si="9"/>
        <v>196903</v>
      </c>
      <c r="P236" s="80"/>
      <c r="Q236" s="35"/>
    </row>
    <row r="237">
      <c r="A237" s="45"/>
      <c r="B237" s="45"/>
      <c r="C237" s="70"/>
      <c r="D237" s="77" t="s">
        <v>26</v>
      </c>
      <c r="E237" s="81">
        <f>1890+6000</f>
        <v>7890</v>
      </c>
      <c r="F237" s="75"/>
      <c r="G237" s="81">
        <f>1219</f>
        <v>1219</v>
      </c>
      <c r="H237" s="75"/>
      <c r="I237" s="79">
        <f>33528+6000</f>
        <v>39528</v>
      </c>
      <c r="J237" s="75"/>
      <c r="K237" s="81">
        <v>0.0</v>
      </c>
      <c r="L237" s="75"/>
      <c r="M237" s="81">
        <v>0.0</v>
      </c>
      <c r="N237" s="80"/>
      <c r="O237" s="83">
        <f t="shared" si="9"/>
        <v>48637</v>
      </c>
      <c r="P237" s="80"/>
      <c r="Q237" s="35"/>
    </row>
    <row r="238">
      <c r="A238" s="45"/>
      <c r="B238" s="45"/>
      <c r="C238" s="70"/>
      <c r="D238" s="77" t="s">
        <v>27</v>
      </c>
      <c r="E238" s="81">
        <v>0.0</v>
      </c>
      <c r="F238" s="75"/>
      <c r="G238" s="81">
        <v>0.0</v>
      </c>
      <c r="H238" s="75"/>
      <c r="I238" s="81">
        <f>6000+2190</f>
        <v>8190</v>
      </c>
      <c r="J238" s="75"/>
      <c r="K238" s="81">
        <f>2410</f>
        <v>2410</v>
      </c>
      <c r="L238" s="75"/>
      <c r="M238" s="81">
        <v>0.0</v>
      </c>
      <c r="N238" s="80"/>
      <c r="O238" s="83">
        <f t="shared" si="9"/>
        <v>10600</v>
      </c>
      <c r="P238" s="80"/>
      <c r="Q238" s="35"/>
    </row>
    <row r="239">
      <c r="A239" s="45"/>
      <c r="B239" s="45"/>
      <c r="C239" s="70"/>
      <c r="D239" s="77" t="s">
        <v>28</v>
      </c>
      <c r="E239" s="81">
        <v>0.0</v>
      </c>
      <c r="F239" s="75"/>
      <c r="G239" s="81">
        <v>0.0</v>
      </c>
      <c r="H239" s="75"/>
      <c r="I239" s="81">
        <v>194733.0</v>
      </c>
      <c r="J239" s="75"/>
      <c r="K239" s="81">
        <f>5084</f>
        <v>5084</v>
      </c>
      <c r="L239" s="75"/>
      <c r="M239" s="79">
        <f>21198+42245+40069</f>
        <v>103512</v>
      </c>
      <c r="N239" s="80"/>
      <c r="O239" s="83">
        <f t="shared" si="9"/>
        <v>303329</v>
      </c>
      <c r="P239" s="80"/>
      <c r="Q239" s="35"/>
    </row>
    <row r="240">
      <c r="A240" s="45"/>
      <c r="B240" s="45"/>
      <c r="C240" s="70"/>
      <c r="D240" s="77" t="s">
        <v>29</v>
      </c>
      <c r="E240" s="79">
        <v>0.0</v>
      </c>
      <c r="F240" s="75"/>
      <c r="G240" s="81">
        <v>0.0</v>
      </c>
      <c r="H240" s="75"/>
      <c r="I240" s="81">
        <v>0.0</v>
      </c>
      <c r="J240" s="75"/>
      <c r="K240" s="81">
        <f>4500+2200+924</f>
        <v>7624</v>
      </c>
      <c r="L240" s="75"/>
      <c r="M240" s="83">
        <v>0.0</v>
      </c>
      <c r="N240" s="80"/>
      <c r="O240" s="83">
        <f t="shared" si="9"/>
        <v>7624</v>
      </c>
      <c r="P240" s="80"/>
      <c r="Q240" s="35"/>
    </row>
    <row r="241">
      <c r="A241" s="45"/>
      <c r="B241" s="45"/>
      <c r="C241" s="70"/>
      <c r="D241" s="77" t="s">
        <v>30</v>
      </c>
      <c r="E241" s="81">
        <v>2245.0</v>
      </c>
      <c r="F241" s="75"/>
      <c r="G241" s="81">
        <v>0.0</v>
      </c>
      <c r="H241" s="75"/>
      <c r="I241" s="81">
        <f>4800+3728</f>
        <v>8528</v>
      </c>
      <c r="J241" s="75"/>
      <c r="K241" s="81">
        <v>0.0</v>
      </c>
      <c r="L241" s="75"/>
      <c r="M241" s="81">
        <v>0.0</v>
      </c>
      <c r="N241" s="200"/>
      <c r="O241" s="83">
        <f t="shared" si="9"/>
        <v>10773</v>
      </c>
      <c r="P241" s="80"/>
      <c r="Q241" s="35"/>
    </row>
    <row r="242">
      <c r="A242" s="45"/>
      <c r="B242" s="45"/>
      <c r="C242" s="70"/>
      <c r="D242" s="89" t="s">
        <v>31</v>
      </c>
      <c r="E242" s="81">
        <f>940+1360/2+31454</f>
        <v>33074</v>
      </c>
      <c r="F242" s="75"/>
      <c r="G242" s="81">
        <f>2700/2+2300/2+21868/2</f>
        <v>13434</v>
      </c>
      <c r="H242" s="75"/>
      <c r="I242" s="81">
        <f>2600/2+77487+4224/2</f>
        <v>80899</v>
      </c>
      <c r="J242" s="75"/>
      <c r="K242" s="81">
        <v>77065.0</v>
      </c>
      <c r="L242" s="75"/>
      <c r="M242" s="81">
        <v>0.0</v>
      </c>
      <c r="N242" s="80"/>
      <c r="O242" s="83">
        <f t="shared" si="9"/>
        <v>204472</v>
      </c>
      <c r="P242" s="80"/>
      <c r="Q242" s="35"/>
    </row>
    <row r="243">
      <c r="A243" s="45"/>
      <c r="B243" s="45"/>
      <c r="C243" s="70"/>
      <c r="D243" s="77" t="s">
        <v>32</v>
      </c>
      <c r="E243" s="81">
        <v>2000.0</v>
      </c>
      <c r="F243" s="75"/>
      <c r="G243" s="81">
        <v>75699.0</v>
      </c>
      <c r="H243" s="75"/>
      <c r="I243" s="81">
        <v>0.0</v>
      </c>
      <c r="J243" s="75"/>
      <c r="K243" s="81">
        <v>0.0</v>
      </c>
      <c r="L243" s="75"/>
      <c r="M243" s="81">
        <v>0.0</v>
      </c>
      <c r="N243" s="80"/>
      <c r="O243" s="83">
        <f t="shared" si="9"/>
        <v>77699</v>
      </c>
      <c r="P243" s="80"/>
      <c r="Q243" s="35"/>
    </row>
    <row r="244">
      <c r="A244" s="45"/>
      <c r="B244" s="45"/>
      <c r="C244" s="70"/>
      <c r="D244" s="77" t="s">
        <v>33</v>
      </c>
      <c r="E244" s="81">
        <v>17852.0</v>
      </c>
      <c r="F244" s="75"/>
      <c r="G244" s="79">
        <v>0.0</v>
      </c>
      <c r="H244" s="75"/>
      <c r="I244" s="81">
        <v>1900.0</v>
      </c>
      <c r="J244" s="75"/>
      <c r="K244" s="81">
        <v>3500.0</v>
      </c>
      <c r="L244" s="75"/>
      <c r="M244" s="81">
        <v>0.0</v>
      </c>
      <c r="N244" s="80"/>
      <c r="O244" s="83">
        <f t="shared" si="9"/>
        <v>23252</v>
      </c>
      <c r="P244" s="80"/>
      <c r="Q244" s="35"/>
    </row>
    <row r="245">
      <c r="A245" s="45"/>
      <c r="B245" s="45"/>
      <c r="C245" s="93"/>
      <c r="D245" s="94" t="s">
        <v>34</v>
      </c>
      <c r="E245" s="95">
        <f>SUM(E246:F249)</f>
        <v>945535</v>
      </c>
      <c r="F245" s="75"/>
      <c r="G245" s="95">
        <f>SUM(G246:G249)</f>
        <v>0</v>
      </c>
      <c r="H245" s="75"/>
      <c r="I245" s="95">
        <f>SUM(I246:I249)</f>
        <v>0</v>
      </c>
      <c r="J245" s="75"/>
      <c r="K245" s="95">
        <f>SUM(K246:K249)</f>
        <v>0</v>
      </c>
      <c r="L245" s="75"/>
      <c r="M245" s="95">
        <f>SUM(M246:M249)</f>
        <v>0</v>
      </c>
      <c r="N245" s="93"/>
      <c r="O245" s="95">
        <f t="shared" si="9"/>
        <v>945535</v>
      </c>
      <c r="P245" s="93"/>
      <c r="Q245" s="35"/>
    </row>
    <row r="246">
      <c r="A246" s="45"/>
      <c r="B246" s="45"/>
      <c r="C246" s="98"/>
      <c r="D246" s="77" t="s">
        <v>35</v>
      </c>
      <c r="E246" s="100">
        <v>945535.0</v>
      </c>
      <c r="F246" s="75"/>
      <c r="G246" s="81">
        <v>0.0</v>
      </c>
      <c r="H246" s="75"/>
      <c r="I246" s="81"/>
      <c r="J246" s="83">
        <v>0.0</v>
      </c>
      <c r="K246" s="83">
        <v>0.0</v>
      </c>
      <c r="L246" s="75"/>
      <c r="M246" s="83">
        <v>0.0</v>
      </c>
      <c r="N246" s="80"/>
      <c r="O246" s="83">
        <f t="shared" si="9"/>
        <v>945535</v>
      </c>
      <c r="P246" s="80"/>
      <c r="Q246" s="35"/>
    </row>
    <row r="247">
      <c r="A247" s="45"/>
      <c r="B247" s="45"/>
      <c r="C247" s="98"/>
      <c r="D247" s="77" t="s">
        <v>36</v>
      </c>
      <c r="E247" s="81">
        <v>0.0</v>
      </c>
      <c r="F247" s="75"/>
      <c r="G247" s="102"/>
      <c r="H247" s="83">
        <v>0.0</v>
      </c>
      <c r="I247" s="102"/>
      <c r="J247" s="83">
        <v>0.0</v>
      </c>
      <c r="K247" s="102"/>
      <c r="L247" s="83">
        <v>0.0</v>
      </c>
      <c r="M247" s="83">
        <v>0.0</v>
      </c>
      <c r="N247" s="80"/>
      <c r="O247" s="83">
        <f t="shared" si="9"/>
        <v>0</v>
      </c>
      <c r="P247" s="80"/>
      <c r="Q247" s="35"/>
    </row>
    <row r="248">
      <c r="A248" s="45"/>
      <c r="B248" s="45"/>
      <c r="C248" s="98"/>
      <c r="D248" s="77" t="s">
        <v>37</v>
      </c>
      <c r="E248" s="83">
        <v>0.0</v>
      </c>
      <c r="F248" s="75"/>
      <c r="G248" s="83">
        <v>0.0</v>
      </c>
      <c r="H248" s="75"/>
      <c r="I248" s="83">
        <v>0.0</v>
      </c>
      <c r="J248" s="75"/>
      <c r="K248" s="83">
        <v>0.0</v>
      </c>
      <c r="L248" s="75"/>
      <c r="M248" s="83">
        <v>0.0</v>
      </c>
      <c r="N248" s="80"/>
      <c r="O248" s="83">
        <f t="shared" si="9"/>
        <v>0</v>
      </c>
      <c r="P248" s="80"/>
      <c r="Q248" s="35"/>
    </row>
    <row r="249">
      <c r="A249" s="45"/>
      <c r="B249" s="45"/>
      <c r="C249" s="109"/>
      <c r="D249" s="110" t="s">
        <v>33</v>
      </c>
      <c r="E249" s="113">
        <v>0.0</v>
      </c>
      <c r="F249" s="112"/>
      <c r="G249" s="113">
        <v>0.0</v>
      </c>
      <c r="H249" s="112"/>
      <c r="I249" s="113">
        <v>0.0</v>
      </c>
      <c r="J249" s="112"/>
      <c r="K249" s="113">
        <v>0.0</v>
      </c>
      <c r="L249" s="112"/>
      <c r="M249" s="111">
        <v>0.0</v>
      </c>
      <c r="N249" s="114"/>
      <c r="O249" s="111">
        <f t="shared" si="9"/>
        <v>0</v>
      </c>
      <c r="P249" s="114"/>
      <c r="Q249" s="35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</row>
    <row r="251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6"/>
      <c r="O251" s="116"/>
      <c r="P251" s="116"/>
      <c r="Q251" s="19"/>
    </row>
    <row r="252">
      <c r="A252" s="215"/>
      <c r="B252" s="216"/>
      <c r="C252" s="13"/>
      <c r="D252" s="13"/>
      <c r="E252" s="13"/>
      <c r="F252" s="5"/>
      <c r="G252" s="5"/>
      <c r="H252" s="3" t="str">
        <f t="array" ref="H252">(INDIRECT("I" &amp; ROW() + 1)/INDIRECT("D" &amp; ROW() + 1))</f>
        <v>#DIV/0!</v>
      </c>
      <c r="J252" s="5"/>
      <c r="K252" s="4">
        <f t="array" ref="K252">(1 - INDIRECT("I" &amp; ROW()))</f>
        <v>1</v>
      </c>
      <c r="M252" s="5"/>
      <c r="N252" s="5"/>
      <c r="O252" s="5"/>
      <c r="P252" s="5"/>
      <c r="Q252" s="5"/>
    </row>
    <row r="253">
      <c r="A253" s="26"/>
      <c r="B253" s="1"/>
      <c r="C253" s="8">
        <f>O273</f>
        <v>945535</v>
      </c>
      <c r="F253" s="5"/>
      <c r="H253" s="27">
        <f>O258</f>
        <v>976296</v>
      </c>
      <c r="J253" s="5"/>
      <c r="K253" s="32">
        <f>C253-H253</f>
        <v>-30761</v>
      </c>
      <c r="M253" s="34">
        <v>1.0</v>
      </c>
      <c r="O253" s="5"/>
      <c r="P253" s="5"/>
      <c r="Q253" s="5"/>
    </row>
    <row r="254">
      <c r="A254" s="37"/>
      <c r="B254" s="37"/>
      <c r="C254" s="40" t="s">
        <v>1</v>
      </c>
      <c r="D254" s="42"/>
      <c r="E254" s="42"/>
      <c r="F254" s="42"/>
      <c r="G254" s="42"/>
      <c r="H254" s="40" t="s">
        <v>2</v>
      </c>
      <c r="I254" s="42"/>
      <c r="J254" s="18"/>
      <c r="K254" s="40" t="s">
        <v>3</v>
      </c>
      <c r="L254" s="42"/>
      <c r="M254" s="44" t="s">
        <v>14</v>
      </c>
      <c r="N254" s="42"/>
      <c r="O254" s="18"/>
      <c r="P254" s="18"/>
      <c r="Q254" s="18"/>
    </row>
    <row r="255">
      <c r="A255" s="19"/>
      <c r="B255" s="19"/>
      <c r="C255" s="19"/>
      <c r="D255" s="19"/>
      <c r="E255" s="19" t="s">
        <v>4</v>
      </c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</row>
    <row r="256">
      <c r="A256" s="45"/>
      <c r="B256" s="45"/>
      <c r="C256" s="198" t="s">
        <v>61</v>
      </c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9"/>
    </row>
    <row r="257">
      <c r="A257" s="45"/>
      <c r="B257" s="45"/>
      <c r="C257" s="29"/>
      <c r="D257" s="54" t="s">
        <v>6</v>
      </c>
      <c r="E257" s="57" t="s">
        <v>15</v>
      </c>
      <c r="G257" s="57" t="s">
        <v>16</v>
      </c>
      <c r="I257" s="57" t="s">
        <v>17</v>
      </c>
      <c r="K257" s="57" t="s">
        <v>18</v>
      </c>
      <c r="M257" s="57" t="s">
        <v>19</v>
      </c>
      <c r="N257" s="29"/>
      <c r="O257" s="57" t="s">
        <v>12</v>
      </c>
      <c r="P257" s="29"/>
      <c r="Q257" s="35"/>
    </row>
    <row r="258">
      <c r="A258" s="45"/>
      <c r="B258" s="45"/>
      <c r="C258" s="55"/>
      <c r="D258" s="64" t="s">
        <v>13</v>
      </c>
      <c r="E258" s="67">
        <f>SUM(E259:F272)</f>
        <v>262044</v>
      </c>
      <c r="F258" s="62"/>
      <c r="G258" s="67">
        <f>SUM(G259:H272)</f>
        <v>317210</v>
      </c>
      <c r="H258" s="62"/>
      <c r="I258" s="67">
        <f>SUM(I259:J272)</f>
        <v>121613</v>
      </c>
      <c r="J258" s="62"/>
      <c r="K258" s="67">
        <f>SUM(K259:L272)</f>
        <v>153174</v>
      </c>
      <c r="L258" s="62"/>
      <c r="M258" s="67">
        <f>SUM(M259:M272)</f>
        <v>122255</v>
      </c>
      <c r="N258" s="72"/>
      <c r="O258" s="67">
        <f t="shared" ref="O258:O277" si="10">SUM(E258:N258)</f>
        <v>976296</v>
      </c>
      <c r="P258" s="72"/>
      <c r="Q258" s="35"/>
    </row>
    <row r="259">
      <c r="A259" s="45"/>
      <c r="B259" s="45"/>
      <c r="C259" s="70"/>
      <c r="D259" s="77" t="s">
        <v>20</v>
      </c>
      <c r="E259" s="79">
        <v>0.0</v>
      </c>
      <c r="F259" s="75"/>
      <c r="G259" s="81">
        <f>289633-84816</f>
        <v>204817</v>
      </c>
      <c r="H259" s="75"/>
      <c r="I259" s="81">
        <v>0.0</v>
      </c>
      <c r="J259" s="75"/>
      <c r="K259" s="81">
        <v>0.0</v>
      </c>
      <c r="L259" s="75"/>
      <c r="M259" s="81">
        <v>0.0</v>
      </c>
      <c r="N259" s="80"/>
      <c r="O259" s="83">
        <f t="shared" si="10"/>
        <v>204817</v>
      </c>
      <c r="P259" s="80"/>
      <c r="Q259" s="35"/>
    </row>
    <row r="260">
      <c r="A260" s="45"/>
      <c r="B260" s="45"/>
      <c r="C260" s="70"/>
      <c r="D260" s="77" t="s">
        <v>21</v>
      </c>
      <c r="E260" s="81">
        <v>0.0</v>
      </c>
      <c r="F260" s="75"/>
      <c r="G260" s="79">
        <v>0.0</v>
      </c>
      <c r="H260" s="75"/>
      <c r="I260" s="81">
        <v>0.0</v>
      </c>
      <c r="J260" s="75"/>
      <c r="K260" s="81">
        <v>0.0</v>
      </c>
      <c r="L260" s="75"/>
      <c r="M260" s="81">
        <f>2046+1706+318+2573+1846+610</f>
        <v>9099</v>
      </c>
      <c r="N260" s="80"/>
      <c r="O260" s="83">
        <f t="shared" si="10"/>
        <v>9099</v>
      </c>
      <c r="P260" s="80"/>
      <c r="Q260" s="35"/>
    </row>
    <row r="261">
      <c r="A261" s="45"/>
      <c r="B261" s="45"/>
      <c r="C261" s="70"/>
      <c r="D261" s="87" t="s">
        <v>22</v>
      </c>
      <c r="E261" s="81">
        <v>0.0</v>
      </c>
      <c r="F261" s="75"/>
      <c r="G261" s="81">
        <v>0.0</v>
      </c>
      <c r="H261" s="75"/>
      <c r="I261" s="81">
        <v>0.0</v>
      </c>
      <c r="J261" s="75"/>
      <c r="K261" s="81">
        <v>0.0</v>
      </c>
      <c r="L261" s="75"/>
      <c r="M261" s="81">
        <v>0.0</v>
      </c>
      <c r="N261" s="80"/>
      <c r="O261" s="83">
        <f t="shared" si="10"/>
        <v>0</v>
      </c>
      <c r="P261" s="80"/>
      <c r="Q261" s="35"/>
    </row>
    <row r="262">
      <c r="A262" s="45"/>
      <c r="B262" s="45"/>
      <c r="C262" s="70"/>
      <c r="D262" s="87" t="s">
        <v>23</v>
      </c>
      <c r="E262" s="81">
        <v>0.0</v>
      </c>
      <c r="F262" s="75"/>
      <c r="G262" s="81">
        <v>0.0</v>
      </c>
      <c r="H262" s="75"/>
      <c r="I262" s="79">
        <v>0.0</v>
      </c>
      <c r="J262" s="75"/>
      <c r="K262" s="81">
        <v>0.0</v>
      </c>
      <c r="L262" s="75"/>
      <c r="M262" s="81">
        <f>4500+2000+3300+490</f>
        <v>10290</v>
      </c>
      <c r="N262" s="80"/>
      <c r="O262" s="83">
        <f t="shared" si="10"/>
        <v>10290</v>
      </c>
      <c r="P262" s="80"/>
      <c r="Q262" s="35"/>
    </row>
    <row r="263">
      <c r="A263" s="45"/>
      <c r="B263" s="45"/>
      <c r="C263" s="70"/>
      <c r="D263" s="77" t="s">
        <v>24</v>
      </c>
      <c r="E263" s="81">
        <v>0.0</v>
      </c>
      <c r="F263" s="75"/>
      <c r="G263" s="81">
        <v>0.0</v>
      </c>
      <c r="H263" s="75"/>
      <c r="I263" s="81">
        <v>0.0</v>
      </c>
      <c r="J263" s="75"/>
      <c r="K263" s="81">
        <v>0.0</v>
      </c>
      <c r="L263" s="75"/>
      <c r="M263" s="81">
        <f>1250</f>
        <v>1250</v>
      </c>
      <c r="N263" s="80"/>
      <c r="O263" s="83">
        <f t="shared" si="10"/>
        <v>1250</v>
      </c>
      <c r="P263" s="80"/>
      <c r="Q263" s="35"/>
    </row>
    <row r="264">
      <c r="A264" s="45"/>
      <c r="B264" s="45"/>
      <c r="C264" s="70"/>
      <c r="D264" s="77" t="s">
        <v>25</v>
      </c>
      <c r="E264" s="81">
        <v>0.0</v>
      </c>
      <c r="F264" s="75"/>
      <c r="G264" s="79">
        <v>0.0</v>
      </c>
      <c r="H264" s="75"/>
      <c r="I264" s="81">
        <v>0.0</v>
      </c>
      <c r="J264" s="75"/>
      <c r="K264" s="81">
        <v>0.0</v>
      </c>
      <c r="L264" s="75"/>
      <c r="M264" s="81">
        <v>0.0</v>
      </c>
      <c r="N264" s="80"/>
      <c r="O264" s="83">
        <f t="shared" si="10"/>
        <v>0</v>
      </c>
      <c r="P264" s="80"/>
      <c r="Q264" s="35"/>
    </row>
    <row r="265">
      <c r="A265" s="45"/>
      <c r="B265" s="45"/>
      <c r="C265" s="70"/>
      <c r="D265" s="77" t="s">
        <v>26</v>
      </c>
      <c r="E265" s="81">
        <v>0.0</v>
      </c>
      <c r="F265" s="75"/>
      <c r="G265" s="81">
        <v>0.0</v>
      </c>
      <c r="H265" s="75"/>
      <c r="I265" s="79">
        <v>0.0</v>
      </c>
      <c r="J265" s="75"/>
      <c r="K265" s="81">
        <v>0.0</v>
      </c>
      <c r="L265" s="75"/>
      <c r="M265" s="81">
        <f>688+120+6000</f>
        <v>6808</v>
      </c>
      <c r="N265" s="80"/>
      <c r="O265" s="83">
        <f t="shared" si="10"/>
        <v>6808</v>
      </c>
      <c r="P265" s="80"/>
      <c r="Q265" s="35"/>
    </row>
    <row r="266">
      <c r="A266" s="45"/>
      <c r="B266" s="45"/>
      <c r="C266" s="70"/>
      <c r="D266" s="77" t="s">
        <v>27</v>
      </c>
      <c r="E266" s="81">
        <v>0.0</v>
      </c>
      <c r="F266" s="75"/>
      <c r="G266" s="81">
        <v>0.0</v>
      </c>
      <c r="H266" s="75"/>
      <c r="I266" s="81">
        <v>0.0</v>
      </c>
      <c r="J266" s="75"/>
      <c r="K266" s="81">
        <v>0.0</v>
      </c>
      <c r="L266" s="75"/>
      <c r="M266" s="81">
        <v>0.0</v>
      </c>
      <c r="N266" s="80"/>
      <c r="O266" s="83">
        <f t="shared" si="10"/>
        <v>0</v>
      </c>
      <c r="P266" s="80"/>
      <c r="Q266" s="35"/>
    </row>
    <row r="267">
      <c r="A267" s="45"/>
      <c r="B267" s="45"/>
      <c r="C267" s="70"/>
      <c r="D267" s="77" t="s">
        <v>28</v>
      </c>
      <c r="E267" s="81">
        <f>30307+110440+33566+5113+31935</f>
        <v>211361</v>
      </c>
      <c r="F267" s="75"/>
      <c r="G267" s="81">
        <f>8156+1185+3303+2658+2347+4630+12891+12083-1300+9180+10598+7942</f>
        <v>73673</v>
      </c>
      <c r="H267" s="75"/>
      <c r="I267" s="81">
        <f>7738+10270+2000+3222+(14892-4800)+8291+36740</f>
        <v>78353</v>
      </c>
      <c r="J267" s="75"/>
      <c r="K267" s="81">
        <f>10310+18140+12300+12000+36115+25381</f>
        <v>114246</v>
      </c>
      <c r="L267" s="75"/>
      <c r="M267" s="79">
        <f>8074-2800</f>
        <v>5274</v>
      </c>
      <c r="N267" s="80"/>
      <c r="O267" s="83">
        <f t="shared" si="10"/>
        <v>482907</v>
      </c>
      <c r="P267" s="80"/>
      <c r="Q267" s="35"/>
    </row>
    <row r="268">
      <c r="A268" s="45"/>
      <c r="B268" s="45"/>
      <c r="C268" s="70"/>
      <c r="D268" s="77" t="s">
        <v>29</v>
      </c>
      <c r="E268" s="79">
        <v>0.0</v>
      </c>
      <c r="F268" s="75"/>
      <c r="G268" s="81">
        <v>0.0</v>
      </c>
      <c r="H268" s="75"/>
      <c r="I268" s="81">
        <v>0.0</v>
      </c>
      <c r="J268" s="75"/>
      <c r="K268" s="81">
        <v>0.0</v>
      </c>
      <c r="L268" s="75"/>
      <c r="M268" s="83">
        <f>2500+3480/2+8950</f>
        <v>13190</v>
      </c>
      <c r="N268" s="80"/>
      <c r="O268" s="83">
        <f t="shared" si="10"/>
        <v>13190</v>
      </c>
      <c r="P268" s="80"/>
      <c r="Q268" s="35"/>
    </row>
    <row r="269">
      <c r="A269" s="45"/>
      <c r="B269" s="45"/>
      <c r="C269" s="70"/>
      <c r="D269" s="77" t="s">
        <v>30</v>
      </c>
      <c r="E269" s="81">
        <f>2245</f>
        <v>2245</v>
      </c>
      <c r="F269" s="75"/>
      <c r="G269" s="81">
        <v>0.0</v>
      </c>
      <c r="H269" s="75"/>
      <c r="I269" s="81">
        <f>4800</f>
        <v>4800</v>
      </c>
      <c r="J269" s="75"/>
      <c r="K269" s="81">
        <v>0.0</v>
      </c>
      <c r="L269" s="75"/>
      <c r="M269" s="81">
        <f>3728</f>
        <v>3728</v>
      </c>
      <c r="N269" s="200"/>
      <c r="O269" s="83">
        <f t="shared" si="10"/>
        <v>10773</v>
      </c>
      <c r="P269" s="80"/>
      <c r="Q269" s="35"/>
    </row>
    <row r="270">
      <c r="A270" s="45"/>
      <c r="B270" s="45"/>
      <c r="C270" s="70"/>
      <c r="D270" s="89" t="s">
        <v>31</v>
      </c>
      <c r="E270" s="81">
        <f>38465+1537+8436</f>
        <v>48438</v>
      </c>
      <c r="F270" s="75"/>
      <c r="G270" s="81">
        <f>38720</f>
        <v>38720</v>
      </c>
      <c r="H270" s="75"/>
      <c r="I270" s="81">
        <f>38460</f>
        <v>38460</v>
      </c>
      <c r="J270" s="75"/>
      <c r="K270" s="81">
        <f>38928</f>
        <v>38928</v>
      </c>
      <c r="L270" s="75"/>
      <c r="M270" s="81">
        <f>46598+23018</f>
        <v>69616</v>
      </c>
      <c r="N270" s="80"/>
      <c r="O270" s="83">
        <f t="shared" si="10"/>
        <v>234162</v>
      </c>
      <c r="P270" s="80"/>
      <c r="Q270" s="35"/>
    </row>
    <row r="271">
      <c r="A271" s="45"/>
      <c r="B271" s="45"/>
      <c r="C271" s="70"/>
      <c r="D271" s="77" t="s">
        <v>32</v>
      </c>
      <c r="E271" s="81">
        <v>0.0</v>
      </c>
      <c r="F271" s="75"/>
      <c r="G271" s="81">
        <v>0.0</v>
      </c>
      <c r="H271" s="75"/>
      <c r="I271" s="81">
        <v>0.0</v>
      </c>
      <c r="J271" s="75"/>
      <c r="K271" s="81">
        <v>0.0</v>
      </c>
      <c r="L271" s="75"/>
      <c r="M271" s="81">
        <f>2800</f>
        <v>2800</v>
      </c>
      <c r="N271" s="80"/>
      <c r="O271" s="83">
        <f t="shared" si="10"/>
        <v>2800</v>
      </c>
      <c r="P271" s="80"/>
      <c r="Q271" s="35"/>
    </row>
    <row r="272">
      <c r="A272" s="45"/>
      <c r="B272" s="45"/>
      <c r="C272" s="70"/>
      <c r="D272" s="77" t="s">
        <v>33</v>
      </c>
      <c r="E272" s="81">
        <v>0.0</v>
      </c>
      <c r="F272" s="75"/>
      <c r="G272" s="79">
        <v>0.0</v>
      </c>
      <c r="H272" s="75"/>
      <c r="I272" s="81">
        <v>0.0</v>
      </c>
      <c r="J272" s="75"/>
      <c r="K272" s="81">
        <v>0.0</v>
      </c>
      <c r="L272" s="75"/>
      <c r="M272" s="81">
        <v>200.0</v>
      </c>
      <c r="N272" s="80"/>
      <c r="O272" s="83">
        <f t="shared" si="10"/>
        <v>200</v>
      </c>
      <c r="P272" s="80"/>
      <c r="Q272" s="35"/>
    </row>
    <row r="273">
      <c r="A273" s="45"/>
      <c r="B273" s="45"/>
      <c r="C273" s="93"/>
      <c r="D273" s="94" t="s">
        <v>34</v>
      </c>
      <c r="E273" s="95">
        <f>SUM(E274:F277)</f>
        <v>0</v>
      </c>
      <c r="F273" s="75"/>
      <c r="G273" s="95">
        <f>SUM(G274:G277)</f>
        <v>945535</v>
      </c>
      <c r="H273" s="75"/>
      <c r="I273" s="95">
        <f>SUM(I274:I277)</f>
        <v>0</v>
      </c>
      <c r="J273" s="75"/>
      <c r="K273" s="95">
        <f>SUM(K274:K277)</f>
        <v>0</v>
      </c>
      <c r="L273" s="75"/>
      <c r="M273" s="95">
        <f>SUM(M274:M277)</f>
        <v>0</v>
      </c>
      <c r="N273" s="93"/>
      <c r="O273" s="95">
        <f t="shared" si="10"/>
        <v>945535</v>
      </c>
      <c r="P273" s="93"/>
      <c r="Q273" s="35"/>
    </row>
    <row r="274">
      <c r="A274" s="45"/>
      <c r="B274" s="45"/>
      <c r="C274" s="98"/>
      <c r="D274" s="77" t="s">
        <v>35</v>
      </c>
      <c r="E274" s="100">
        <v>0.0</v>
      </c>
      <c r="F274" s="75"/>
      <c r="G274" s="81">
        <v>945535.0</v>
      </c>
      <c r="H274" s="75"/>
      <c r="I274" s="81"/>
      <c r="J274" s="83">
        <v>0.0</v>
      </c>
      <c r="K274" s="83">
        <v>0.0</v>
      </c>
      <c r="L274" s="75"/>
      <c r="M274" s="83">
        <v>0.0</v>
      </c>
      <c r="N274" s="80"/>
      <c r="O274" s="83">
        <f t="shared" si="10"/>
        <v>945535</v>
      </c>
      <c r="P274" s="80"/>
      <c r="Q274" s="35"/>
    </row>
    <row r="275">
      <c r="A275" s="45"/>
      <c r="B275" s="45"/>
      <c r="C275" s="98"/>
      <c r="D275" s="77" t="s">
        <v>36</v>
      </c>
      <c r="E275" s="81">
        <v>0.0</v>
      </c>
      <c r="F275" s="75"/>
      <c r="G275" s="102"/>
      <c r="H275" s="83">
        <v>0.0</v>
      </c>
      <c r="I275" s="102"/>
      <c r="J275" s="83">
        <v>0.0</v>
      </c>
      <c r="K275" s="102"/>
      <c r="L275" s="83">
        <v>0.0</v>
      </c>
      <c r="M275" s="83">
        <v>0.0</v>
      </c>
      <c r="N275" s="80"/>
      <c r="O275" s="83">
        <f t="shared" si="10"/>
        <v>0</v>
      </c>
      <c r="P275" s="80"/>
      <c r="Q275" s="35"/>
    </row>
    <row r="276">
      <c r="A276" s="45"/>
      <c r="B276" s="45"/>
      <c r="C276" s="98"/>
      <c r="D276" s="77" t="s">
        <v>37</v>
      </c>
      <c r="E276" s="83">
        <v>0.0</v>
      </c>
      <c r="F276" s="75"/>
      <c r="G276" s="83">
        <v>0.0</v>
      </c>
      <c r="H276" s="75"/>
      <c r="I276" s="83">
        <v>0.0</v>
      </c>
      <c r="J276" s="75"/>
      <c r="K276" s="83">
        <v>0.0</v>
      </c>
      <c r="L276" s="75"/>
      <c r="M276" s="83">
        <v>0.0</v>
      </c>
      <c r="N276" s="80"/>
      <c r="O276" s="83">
        <f t="shared" si="10"/>
        <v>0</v>
      </c>
      <c r="P276" s="80"/>
      <c r="Q276" s="35"/>
    </row>
    <row r="277">
      <c r="A277" s="45"/>
      <c r="B277" s="45"/>
      <c r="C277" s="109"/>
      <c r="D277" s="110" t="s">
        <v>33</v>
      </c>
      <c r="E277" s="113">
        <v>0.0</v>
      </c>
      <c r="F277" s="112"/>
      <c r="G277" s="113">
        <v>0.0</v>
      </c>
      <c r="H277" s="112"/>
      <c r="I277" s="113">
        <v>0.0</v>
      </c>
      <c r="J277" s="112"/>
      <c r="K277" s="113">
        <v>0.0</v>
      </c>
      <c r="L277" s="112"/>
      <c r="M277" s="113">
        <v>0.0</v>
      </c>
      <c r="N277" s="114"/>
      <c r="O277" s="111">
        <f t="shared" si="10"/>
        <v>0</v>
      </c>
      <c r="P277" s="114"/>
      <c r="Q277" s="35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</row>
    <row r="27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6"/>
      <c r="O279" s="116"/>
      <c r="P279" s="116"/>
      <c r="Q279" s="19"/>
    </row>
    <row r="280">
      <c r="A280" s="215"/>
      <c r="B280" s="216"/>
      <c r="C280" s="13"/>
      <c r="D280" s="13"/>
      <c r="E280" s="13"/>
      <c r="F280" s="5"/>
      <c r="G280" s="5"/>
      <c r="H280" s="3" t="str">
        <f t="array" ref="H280">(INDIRECT("I" &amp; ROW() + 1)/INDIRECT("D" &amp; ROW() + 1))</f>
        <v>#DIV/0!</v>
      </c>
      <c r="J280" s="5"/>
      <c r="K280" s="4">
        <f t="array" ref="K280">(1 - INDIRECT("I" &amp; ROW()))</f>
        <v>1</v>
      </c>
      <c r="M280" s="5"/>
      <c r="N280" s="5"/>
      <c r="O280" s="5"/>
      <c r="P280" s="5"/>
      <c r="Q280" s="5"/>
    </row>
    <row r="281">
      <c r="A281" s="26"/>
      <c r="B281" s="1"/>
      <c r="C281" s="8">
        <f>O301</f>
        <v>621709</v>
      </c>
      <c r="F281" s="5"/>
      <c r="H281" s="27">
        <f>O286</f>
        <v>559698</v>
      </c>
      <c r="J281" s="5"/>
      <c r="K281" s="32">
        <f>C281-H281</f>
        <v>62011</v>
      </c>
      <c r="M281" s="34">
        <v>1.0</v>
      </c>
      <c r="O281" s="5"/>
      <c r="P281" s="5"/>
      <c r="Q281" s="5"/>
    </row>
    <row r="282">
      <c r="A282" s="37"/>
      <c r="B282" s="37"/>
      <c r="C282" s="40" t="s">
        <v>1</v>
      </c>
      <c r="D282" s="42"/>
      <c r="E282" s="42"/>
      <c r="F282" s="42"/>
      <c r="G282" s="42"/>
      <c r="H282" s="40" t="s">
        <v>2</v>
      </c>
      <c r="I282" s="42"/>
      <c r="J282" s="18"/>
      <c r="K282" s="40" t="s">
        <v>3</v>
      </c>
      <c r="L282" s="42"/>
      <c r="M282" s="44" t="s">
        <v>14</v>
      </c>
      <c r="N282" s="42"/>
      <c r="O282" s="18"/>
      <c r="P282" s="18"/>
      <c r="Q282" s="18"/>
    </row>
    <row r="283">
      <c r="A283" s="19"/>
      <c r="B283" s="19"/>
      <c r="C283" s="19"/>
      <c r="D283" s="19"/>
      <c r="E283" s="19" t="s">
        <v>4</v>
      </c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</row>
    <row r="284">
      <c r="A284" s="45"/>
      <c r="B284" s="45"/>
      <c r="C284" s="198" t="s">
        <v>62</v>
      </c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9"/>
    </row>
    <row r="285">
      <c r="A285" s="45"/>
      <c r="B285" s="45"/>
      <c r="C285" s="29"/>
      <c r="D285" s="54" t="s">
        <v>6</v>
      </c>
      <c r="E285" s="57" t="s">
        <v>15</v>
      </c>
      <c r="G285" s="57" t="s">
        <v>16</v>
      </c>
      <c r="I285" s="57" t="s">
        <v>17</v>
      </c>
      <c r="K285" s="57" t="s">
        <v>18</v>
      </c>
      <c r="M285" s="57" t="s">
        <v>19</v>
      </c>
      <c r="N285" s="29"/>
      <c r="O285" s="57" t="s">
        <v>12</v>
      </c>
      <c r="P285" s="29"/>
      <c r="Q285" s="35"/>
    </row>
    <row r="286">
      <c r="A286" s="45"/>
      <c r="B286" s="45"/>
      <c r="C286" s="55"/>
      <c r="D286" s="64" t="s">
        <v>13</v>
      </c>
      <c r="E286" s="67">
        <f>SUM(E287:F300)</f>
        <v>64851</v>
      </c>
      <c r="F286" s="62"/>
      <c r="G286" s="67">
        <f>SUM(G287:H300)</f>
        <v>102140</v>
      </c>
      <c r="H286" s="62"/>
      <c r="I286" s="67">
        <f>SUM(I287:J300)</f>
        <v>392707</v>
      </c>
      <c r="J286" s="62"/>
      <c r="K286" s="67">
        <f>SUM(K287:L300)</f>
        <v>0</v>
      </c>
      <c r="L286" s="62"/>
      <c r="M286" s="67">
        <f>SUM(M287:M300)</f>
        <v>0</v>
      </c>
      <c r="N286" s="72"/>
      <c r="O286" s="67">
        <f t="shared" ref="O286:O305" si="11">SUM(E286:N286)</f>
        <v>559698</v>
      </c>
      <c r="P286" s="72"/>
      <c r="Q286" s="35"/>
    </row>
    <row r="287">
      <c r="A287" s="45"/>
      <c r="B287" s="45"/>
      <c r="C287" s="70"/>
      <c r="D287" s="77" t="s">
        <v>20</v>
      </c>
      <c r="E287" s="79">
        <v>0.0</v>
      </c>
      <c r="F287" s="75"/>
      <c r="G287" s="81">
        <v>0.0</v>
      </c>
      <c r="H287" s="75"/>
      <c r="I287" s="81">
        <f>280794-80936</f>
        <v>199858</v>
      </c>
      <c r="J287" s="75"/>
      <c r="K287" s="81">
        <v>0.0</v>
      </c>
      <c r="L287" s="75"/>
      <c r="M287" s="81">
        <v>0.0</v>
      </c>
      <c r="N287" s="80"/>
      <c r="O287" s="83">
        <f t="shared" si="11"/>
        <v>199858</v>
      </c>
      <c r="P287" s="80"/>
      <c r="Q287" s="35"/>
    </row>
    <row r="288">
      <c r="A288" s="45"/>
      <c r="B288" s="45"/>
      <c r="C288" s="70"/>
      <c r="D288" s="77" t="s">
        <v>21</v>
      </c>
      <c r="E288" s="81">
        <f>7950+2735+650+864+1198</f>
        <v>13397</v>
      </c>
      <c r="F288" s="75"/>
      <c r="G288" s="79">
        <f>2825+430+610+3007+3631+3308+1148+716+2418</f>
        <v>18093</v>
      </c>
      <c r="H288" s="75"/>
      <c r="I288" s="81">
        <f>3015+349+6380+650+2759</f>
        <v>13153</v>
      </c>
      <c r="J288" s="75"/>
      <c r="K288" s="81">
        <v>0.0</v>
      </c>
      <c r="L288" s="75"/>
      <c r="M288" s="81">
        <v>0.0</v>
      </c>
      <c r="N288" s="80"/>
      <c r="O288" s="83">
        <f t="shared" si="11"/>
        <v>44643</v>
      </c>
      <c r="P288" s="80"/>
      <c r="Q288" s="35"/>
    </row>
    <row r="289">
      <c r="A289" s="45"/>
      <c r="B289" s="45"/>
      <c r="C289" s="70"/>
      <c r="D289" s="87" t="s">
        <v>22</v>
      </c>
      <c r="E289" s="81">
        <v>0.0</v>
      </c>
      <c r="F289" s="75"/>
      <c r="G289" s="81">
        <f>2428</f>
        <v>2428</v>
      </c>
      <c r="H289" s="75"/>
      <c r="I289" s="81">
        <f>15195+2757+475+2140</f>
        <v>20567</v>
      </c>
      <c r="J289" s="75"/>
      <c r="K289" s="81">
        <v>0.0</v>
      </c>
      <c r="L289" s="75"/>
      <c r="M289" s="81">
        <v>0.0</v>
      </c>
      <c r="N289" s="80"/>
      <c r="O289" s="83">
        <f t="shared" si="11"/>
        <v>22995</v>
      </c>
      <c r="P289" s="80"/>
      <c r="Q289" s="35"/>
    </row>
    <row r="290">
      <c r="A290" s="45"/>
      <c r="B290" s="45"/>
      <c r="C290" s="70"/>
      <c r="D290" s="87" t="s">
        <v>23</v>
      </c>
      <c r="E290" s="81">
        <f>1599+8635+3500+600</f>
        <v>14334</v>
      </c>
      <c r="F290" s="75"/>
      <c r="G290" s="81">
        <f>558+3300+3200+2980</f>
        <v>10038</v>
      </c>
      <c r="H290" s="75"/>
      <c r="I290" s="79">
        <v>0.0</v>
      </c>
      <c r="J290" s="75"/>
      <c r="K290" s="81">
        <v>0.0</v>
      </c>
      <c r="L290" s="75"/>
      <c r="M290" s="81">
        <v>0.0</v>
      </c>
      <c r="N290" s="80"/>
      <c r="O290" s="83">
        <f t="shared" si="11"/>
        <v>24372</v>
      </c>
      <c r="P290" s="80"/>
      <c r="Q290" s="35"/>
    </row>
    <row r="291">
      <c r="A291" s="45"/>
      <c r="B291" s="45"/>
      <c r="C291" s="70"/>
      <c r="D291" s="77" t="s">
        <v>24</v>
      </c>
      <c r="E291" s="81">
        <f>1250+940+1250+1250</f>
        <v>4690</v>
      </c>
      <c r="F291" s="75"/>
      <c r="G291" s="81">
        <f>1191+1600+1300+1490+1490+1250+1250</f>
        <v>9571</v>
      </c>
      <c r="H291" s="75"/>
      <c r="I291" s="81">
        <f>1300+2840+1250</f>
        <v>5390</v>
      </c>
      <c r="J291" s="75"/>
      <c r="K291" s="81">
        <v>0.0</v>
      </c>
      <c r="L291" s="75"/>
      <c r="M291" s="81">
        <v>0.0</v>
      </c>
      <c r="N291" s="80"/>
      <c r="O291" s="83">
        <f t="shared" si="11"/>
        <v>19651</v>
      </c>
      <c r="P291" s="80"/>
      <c r="Q291" s="35"/>
    </row>
    <row r="292">
      <c r="A292" s="45"/>
      <c r="B292" s="45"/>
      <c r="C292" s="70"/>
      <c r="D292" s="77" t="s">
        <v>25</v>
      </c>
      <c r="E292" s="81">
        <v>0.0</v>
      </c>
      <c r="F292" s="75"/>
      <c r="G292" s="79">
        <v>0.0</v>
      </c>
      <c r="H292" s="75"/>
      <c r="I292" s="81">
        <v>0.0</v>
      </c>
      <c r="J292" s="75"/>
      <c r="K292" s="81">
        <v>0.0</v>
      </c>
      <c r="L292" s="75"/>
      <c r="M292" s="81">
        <v>0.0</v>
      </c>
      <c r="N292" s="80"/>
      <c r="O292" s="83">
        <f t="shared" si="11"/>
        <v>0</v>
      </c>
      <c r="P292" s="80"/>
      <c r="Q292" s="35"/>
    </row>
    <row r="293">
      <c r="A293" s="45"/>
      <c r="B293" s="45"/>
      <c r="C293" s="70"/>
      <c r="D293" s="77" t="s">
        <v>26</v>
      </c>
      <c r="E293" s="81">
        <v>0.0</v>
      </c>
      <c r="F293" s="75"/>
      <c r="G293" s="81">
        <v>0.0</v>
      </c>
      <c r="H293" s="75"/>
      <c r="I293" s="79">
        <v>0.0</v>
      </c>
      <c r="J293" s="75"/>
      <c r="K293" s="81">
        <v>0.0</v>
      </c>
      <c r="L293" s="75"/>
      <c r="M293" s="81">
        <v>0.0</v>
      </c>
      <c r="N293" s="80"/>
      <c r="O293" s="83">
        <f t="shared" si="11"/>
        <v>0</v>
      </c>
      <c r="P293" s="80"/>
      <c r="Q293" s="35"/>
    </row>
    <row r="294">
      <c r="A294" s="45"/>
      <c r="B294" s="45"/>
      <c r="C294" s="70"/>
      <c r="D294" s="77" t="s">
        <v>27</v>
      </c>
      <c r="E294" s="81">
        <f>22385</f>
        <v>22385</v>
      </c>
      <c r="F294" s="75"/>
      <c r="G294" s="81">
        <v>0.0</v>
      </c>
      <c r="H294" s="75"/>
      <c r="I294" s="81">
        <f>6990</f>
        <v>6990</v>
      </c>
      <c r="J294" s="75"/>
      <c r="K294" s="81">
        <v>0.0</v>
      </c>
      <c r="L294" s="75"/>
      <c r="M294" s="81">
        <v>0.0</v>
      </c>
      <c r="N294" s="80"/>
      <c r="O294" s="83">
        <f t="shared" si="11"/>
        <v>29375</v>
      </c>
      <c r="P294" s="80"/>
      <c r="Q294" s="35"/>
    </row>
    <row r="295">
      <c r="A295" s="45"/>
      <c r="B295" s="45"/>
      <c r="C295" s="70"/>
      <c r="D295" s="77" t="s">
        <v>28</v>
      </c>
      <c r="E295" s="81">
        <v>0.0</v>
      </c>
      <c r="F295" s="75"/>
      <c r="G295" s="81">
        <v>0.0</v>
      </c>
      <c r="H295" s="75"/>
      <c r="I295" s="81">
        <f>57504+34400+16000</f>
        <v>107904</v>
      </c>
      <c r="J295" s="75"/>
      <c r="K295" s="81">
        <v>0.0</v>
      </c>
      <c r="L295" s="75"/>
      <c r="M295" s="79">
        <v>0.0</v>
      </c>
      <c r="N295" s="80"/>
      <c r="O295" s="83">
        <f t="shared" si="11"/>
        <v>107904</v>
      </c>
      <c r="P295" s="80"/>
      <c r="Q295" s="35"/>
    </row>
    <row r="296">
      <c r="A296" s="45"/>
      <c r="B296" s="45"/>
      <c r="C296" s="70"/>
      <c r="D296" s="77" t="s">
        <v>29</v>
      </c>
      <c r="E296" s="79">
        <v>0.0</v>
      </c>
      <c r="F296" s="75"/>
      <c r="G296" s="81">
        <v>0.0</v>
      </c>
      <c r="H296" s="75"/>
      <c r="I296" s="81">
        <v>0.0</v>
      </c>
      <c r="J296" s="75"/>
      <c r="K296" s="81">
        <v>0.0</v>
      </c>
      <c r="L296" s="75"/>
      <c r="M296" s="83">
        <v>0.0</v>
      </c>
      <c r="N296" s="80"/>
      <c r="O296" s="83">
        <f t="shared" si="11"/>
        <v>0</v>
      </c>
      <c r="P296" s="80"/>
      <c r="Q296" s="35"/>
    </row>
    <row r="297">
      <c r="A297" s="45"/>
      <c r="B297" s="45"/>
      <c r="C297" s="70"/>
      <c r="D297" s="77" t="s">
        <v>30</v>
      </c>
      <c r="E297" s="81">
        <v>2245.0</v>
      </c>
      <c r="F297" s="75"/>
      <c r="G297" s="81">
        <f>9221</f>
        <v>9221</v>
      </c>
      <c r="H297" s="75"/>
      <c r="I297" s="81">
        <f>4800+4045</f>
        <v>8845</v>
      </c>
      <c r="J297" s="75"/>
      <c r="K297" s="81">
        <v>0.0</v>
      </c>
      <c r="L297" s="75"/>
      <c r="M297" s="81">
        <v>0.0</v>
      </c>
      <c r="N297" s="200"/>
      <c r="O297" s="83">
        <f t="shared" si="11"/>
        <v>20311</v>
      </c>
      <c r="P297" s="80"/>
      <c r="Q297" s="35"/>
    </row>
    <row r="298">
      <c r="A298" s="45"/>
      <c r="B298" s="45"/>
      <c r="C298" s="70"/>
      <c r="D298" s="89" t="s">
        <v>31</v>
      </c>
      <c r="E298" s="81">
        <v>0.0</v>
      </c>
      <c r="F298" s="75"/>
      <c r="G298" s="81">
        <f>45720+5419</f>
        <v>51139</v>
      </c>
      <c r="H298" s="75"/>
      <c r="I298" s="81">
        <v>0.0</v>
      </c>
      <c r="J298" s="75"/>
      <c r="K298" s="81">
        <v>0.0</v>
      </c>
      <c r="L298" s="75"/>
      <c r="M298" s="81">
        <v>0.0</v>
      </c>
      <c r="N298" s="80"/>
      <c r="O298" s="217">
        <f t="shared" si="11"/>
        <v>51139</v>
      </c>
      <c r="P298" s="80"/>
      <c r="Q298" s="35"/>
    </row>
    <row r="299">
      <c r="A299" s="45"/>
      <c r="B299" s="45"/>
      <c r="C299" s="70"/>
      <c r="D299" s="77" t="s">
        <v>32</v>
      </c>
      <c r="E299" s="81">
        <f>7000</f>
        <v>7000</v>
      </c>
      <c r="F299" s="75"/>
      <c r="G299" s="81">
        <f>500+350</f>
        <v>850</v>
      </c>
      <c r="H299" s="75"/>
      <c r="I299" s="81">
        <f>25000</f>
        <v>25000</v>
      </c>
      <c r="J299" s="75"/>
      <c r="K299" s="81">
        <v>0.0</v>
      </c>
      <c r="L299" s="75"/>
      <c r="M299" s="81">
        <v>0.0</v>
      </c>
      <c r="N299" s="80"/>
      <c r="O299" s="83">
        <f t="shared" si="11"/>
        <v>32850</v>
      </c>
      <c r="P299" s="80"/>
      <c r="Q299" s="35"/>
    </row>
    <row r="300">
      <c r="A300" s="45"/>
      <c r="B300" s="45"/>
      <c r="C300" s="70"/>
      <c r="D300" s="77" t="s">
        <v>33</v>
      </c>
      <c r="E300" s="81">
        <v>800.0</v>
      </c>
      <c r="F300" s="75"/>
      <c r="G300" s="79">
        <f>800</f>
        <v>800</v>
      </c>
      <c r="H300" s="75"/>
      <c r="I300" s="81">
        <f>5000</f>
        <v>5000</v>
      </c>
      <c r="J300" s="75"/>
      <c r="K300" s="81">
        <v>0.0</v>
      </c>
      <c r="L300" s="75"/>
      <c r="M300" s="81">
        <v>0.0</v>
      </c>
      <c r="N300" s="80"/>
      <c r="O300" s="83">
        <f t="shared" si="11"/>
        <v>6600</v>
      </c>
      <c r="P300" s="80"/>
      <c r="Q300" s="35"/>
    </row>
    <row r="301">
      <c r="A301" s="45"/>
      <c r="B301" s="45"/>
      <c r="C301" s="93"/>
      <c r="D301" s="94" t="s">
        <v>34</v>
      </c>
      <c r="E301" s="95">
        <f>SUM(E302:F305)</f>
        <v>621709</v>
      </c>
      <c r="F301" s="75"/>
      <c r="G301" s="95">
        <f>SUM(G302:G305)</f>
        <v>0</v>
      </c>
      <c r="H301" s="75"/>
      <c r="I301" s="95">
        <f>SUM(I302:I305)</f>
        <v>0</v>
      </c>
      <c r="J301" s="75"/>
      <c r="K301" s="95">
        <f>SUM(K302:K305)</f>
        <v>0</v>
      </c>
      <c r="L301" s="75"/>
      <c r="M301" s="95">
        <f>SUM(M302:M305)</f>
        <v>0</v>
      </c>
      <c r="N301" s="93"/>
      <c r="O301" s="95">
        <f t="shared" si="11"/>
        <v>621709</v>
      </c>
      <c r="P301" s="93"/>
      <c r="Q301" s="35"/>
    </row>
    <row r="302">
      <c r="A302" s="45"/>
      <c r="B302" s="45"/>
      <c r="C302" s="98"/>
      <c r="D302" s="77" t="s">
        <v>35</v>
      </c>
      <c r="E302" s="81">
        <v>621709.0</v>
      </c>
      <c r="F302" s="75"/>
      <c r="G302" s="81">
        <v>0.0</v>
      </c>
      <c r="H302" s="75"/>
      <c r="I302" s="81"/>
      <c r="J302" s="83">
        <v>0.0</v>
      </c>
      <c r="K302" s="83">
        <v>0.0</v>
      </c>
      <c r="L302" s="75"/>
      <c r="M302" s="83">
        <v>0.0</v>
      </c>
      <c r="N302" s="80"/>
      <c r="O302" s="83">
        <f t="shared" si="11"/>
        <v>621709</v>
      </c>
      <c r="P302" s="80"/>
      <c r="Q302" s="35"/>
    </row>
    <row r="303">
      <c r="A303" s="45"/>
      <c r="B303" s="45"/>
      <c r="C303" s="98"/>
      <c r="D303" s="77" t="s">
        <v>36</v>
      </c>
      <c r="E303" s="81">
        <v>0.0</v>
      </c>
      <c r="F303" s="75"/>
      <c r="G303" s="102"/>
      <c r="H303" s="83">
        <v>0.0</v>
      </c>
      <c r="I303" s="102"/>
      <c r="J303" s="83">
        <v>0.0</v>
      </c>
      <c r="K303" s="102"/>
      <c r="L303" s="83">
        <v>0.0</v>
      </c>
      <c r="M303" s="83">
        <v>0.0</v>
      </c>
      <c r="N303" s="80"/>
      <c r="O303" s="83">
        <f t="shared" si="11"/>
        <v>0</v>
      </c>
      <c r="P303" s="80"/>
      <c r="Q303" s="35"/>
    </row>
    <row r="304">
      <c r="A304" s="45"/>
      <c r="B304" s="45"/>
      <c r="C304" s="98"/>
      <c r="D304" s="77" t="s">
        <v>37</v>
      </c>
      <c r="E304" s="83">
        <v>0.0</v>
      </c>
      <c r="F304" s="75"/>
      <c r="G304" s="83">
        <v>0.0</v>
      </c>
      <c r="H304" s="75"/>
      <c r="I304" s="83">
        <v>0.0</v>
      </c>
      <c r="J304" s="75"/>
      <c r="K304" s="83">
        <v>0.0</v>
      </c>
      <c r="L304" s="75"/>
      <c r="M304" s="83">
        <v>0.0</v>
      </c>
      <c r="N304" s="80"/>
      <c r="O304" s="83">
        <f t="shared" si="11"/>
        <v>0</v>
      </c>
      <c r="P304" s="80"/>
      <c r="Q304" s="35"/>
    </row>
    <row r="305">
      <c r="A305" s="45"/>
      <c r="B305" s="45"/>
      <c r="C305" s="109"/>
      <c r="D305" s="110" t="s">
        <v>33</v>
      </c>
      <c r="E305" s="113">
        <v>0.0</v>
      </c>
      <c r="F305" s="112"/>
      <c r="G305" s="113">
        <v>0.0</v>
      </c>
      <c r="H305" s="112"/>
      <c r="I305" s="113">
        <v>0.0</v>
      </c>
      <c r="J305" s="112"/>
      <c r="K305" s="113">
        <v>0.0</v>
      </c>
      <c r="L305" s="112"/>
      <c r="M305" s="111">
        <v>0.0</v>
      </c>
      <c r="N305" s="114"/>
      <c r="O305" s="111">
        <f t="shared" si="11"/>
        <v>0</v>
      </c>
      <c r="P305" s="114"/>
      <c r="Q305" s="35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</row>
    <row r="307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6"/>
      <c r="O307" s="116"/>
      <c r="P307" s="116"/>
      <c r="Q307" s="19"/>
    </row>
    <row r="308">
      <c r="A308" s="215"/>
      <c r="B308" s="216"/>
      <c r="C308" s="13"/>
      <c r="D308" s="13"/>
      <c r="E308" s="13"/>
      <c r="F308" s="5"/>
      <c r="G308" s="5"/>
      <c r="H308" s="3" t="str">
        <f t="array" ref="H308">(INDIRECT("I" &amp; ROW() + 1)/INDIRECT("D" &amp; ROW() + 1))</f>
        <v>#DIV/0!</v>
      </c>
      <c r="J308" s="5"/>
      <c r="K308" s="4">
        <f t="array" ref="K308">(1 - INDIRECT("I" &amp; ROW()))</f>
        <v>1</v>
      </c>
      <c r="M308" s="5"/>
      <c r="N308" s="5"/>
      <c r="O308" s="5"/>
      <c r="P308" s="5"/>
      <c r="Q308" s="5"/>
    </row>
    <row r="309">
      <c r="A309" s="26"/>
      <c r="B309" s="1"/>
      <c r="C309" s="8">
        <f>O329</f>
        <v>1024198</v>
      </c>
      <c r="F309" s="5"/>
      <c r="H309" s="27">
        <f>O314</f>
        <v>620480</v>
      </c>
      <c r="J309" s="5"/>
      <c r="K309" s="32">
        <f>C309-H309</f>
        <v>403718</v>
      </c>
      <c r="M309" s="34">
        <v>1.0</v>
      </c>
      <c r="O309" s="5"/>
      <c r="P309" s="5"/>
      <c r="Q309" s="5"/>
    </row>
    <row r="310">
      <c r="A310" s="37"/>
      <c r="B310" s="37"/>
      <c r="C310" s="40" t="s">
        <v>1</v>
      </c>
      <c r="D310" s="42"/>
      <c r="E310" s="42"/>
      <c r="F310" s="42"/>
      <c r="G310" s="42"/>
      <c r="H310" s="40" t="s">
        <v>2</v>
      </c>
      <c r="I310" s="42"/>
      <c r="J310" s="18"/>
      <c r="K310" s="40" t="s">
        <v>3</v>
      </c>
      <c r="L310" s="42"/>
      <c r="M310" s="44" t="s">
        <v>14</v>
      </c>
      <c r="N310" s="42"/>
      <c r="O310" s="18"/>
      <c r="P310" s="18"/>
      <c r="Q310" s="18"/>
    </row>
    <row r="311">
      <c r="A311" s="19"/>
      <c r="B311" s="19"/>
      <c r="C311" s="19"/>
      <c r="D311" s="19"/>
      <c r="E311" s="19" t="s">
        <v>4</v>
      </c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</row>
    <row r="312">
      <c r="A312" s="45"/>
      <c r="B312" s="45"/>
      <c r="C312" s="198" t="s">
        <v>64</v>
      </c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9"/>
    </row>
    <row r="313">
      <c r="A313" s="45"/>
      <c r="B313" s="45"/>
      <c r="C313" s="29"/>
      <c r="D313" s="54" t="s">
        <v>6</v>
      </c>
      <c r="E313" s="57" t="s">
        <v>15</v>
      </c>
      <c r="G313" s="57" t="s">
        <v>16</v>
      </c>
      <c r="I313" s="57" t="s">
        <v>17</v>
      </c>
      <c r="K313" s="57" t="s">
        <v>18</v>
      </c>
      <c r="M313" s="57" t="s">
        <v>19</v>
      </c>
      <c r="N313" s="29"/>
      <c r="O313" s="57" t="s">
        <v>12</v>
      </c>
      <c r="P313" s="29"/>
      <c r="Q313" s="35"/>
    </row>
    <row r="314">
      <c r="A314" s="45"/>
      <c r="B314" s="45"/>
      <c r="C314" s="55"/>
      <c r="D314" s="64" t="s">
        <v>13</v>
      </c>
      <c r="E314" s="67">
        <f>SUM(E315:F328)</f>
        <v>93382</v>
      </c>
      <c r="F314" s="62"/>
      <c r="G314" s="67">
        <f>SUM(G315:H328)</f>
        <v>309289</v>
      </c>
      <c r="H314" s="62"/>
      <c r="I314" s="67">
        <f>SUM(I315:J328)</f>
        <v>134574</v>
      </c>
      <c r="J314" s="62"/>
      <c r="K314" s="67">
        <f>SUM(K315:L328)</f>
        <v>82075</v>
      </c>
      <c r="L314" s="62"/>
      <c r="M314" s="67">
        <f>SUM(M315:M328)</f>
        <v>1160</v>
      </c>
      <c r="N314" s="72"/>
      <c r="O314" s="67">
        <f t="shared" ref="O314:O333" si="12">SUM(E314:N314)</f>
        <v>620480</v>
      </c>
      <c r="P314" s="72"/>
      <c r="Q314" s="35"/>
    </row>
    <row r="315">
      <c r="A315" s="45"/>
      <c r="B315" s="45"/>
      <c r="C315" s="70"/>
      <c r="D315" s="77" t="s">
        <v>20</v>
      </c>
      <c r="E315" s="79">
        <v>0.0</v>
      </c>
      <c r="F315" s="75"/>
      <c r="G315" s="81">
        <f>285417-82708</f>
        <v>202709</v>
      </c>
      <c r="H315" s="75"/>
      <c r="I315" s="81">
        <v>0.0</v>
      </c>
      <c r="J315" s="75"/>
      <c r="K315" s="81">
        <v>0.0</v>
      </c>
      <c r="L315" s="75"/>
      <c r="M315" s="81">
        <v>0.0</v>
      </c>
      <c r="N315" s="80"/>
      <c r="O315" s="83">
        <f t="shared" si="12"/>
        <v>202709</v>
      </c>
      <c r="P315" s="80"/>
      <c r="Q315" s="35"/>
    </row>
    <row r="316">
      <c r="A316" s="45"/>
      <c r="B316" s="45"/>
      <c r="C316" s="70"/>
      <c r="D316" s="77" t="s">
        <v>21</v>
      </c>
      <c r="E316" s="81">
        <f>3034+4449+2586+158+400+1098</f>
        <v>11725</v>
      </c>
      <c r="F316" s="75"/>
      <c r="G316" s="79">
        <f>(14275+8764)+650+3392+339+3364+318+1337</f>
        <v>32439</v>
      </c>
      <c r="H316" s="75"/>
      <c r="I316" s="81">
        <f>1449+1597+650+1064+3054+1795+650+700+699+2846+1227+1506</f>
        <v>17237</v>
      </c>
      <c r="J316" s="75"/>
      <c r="K316" s="81">
        <f>3830+760+650+1451+1169+749+3231+5563</f>
        <v>17403</v>
      </c>
      <c r="L316" s="75"/>
      <c r="M316" s="81">
        <f>733+427</f>
        <v>1160</v>
      </c>
      <c r="N316" s="80"/>
      <c r="O316" s="83">
        <f t="shared" si="12"/>
        <v>79964</v>
      </c>
      <c r="P316" s="80"/>
      <c r="Q316" s="35"/>
    </row>
    <row r="317">
      <c r="A317" s="45"/>
      <c r="B317" s="45"/>
      <c r="C317" s="70"/>
      <c r="D317" s="87" t="s">
        <v>22</v>
      </c>
      <c r="E317" s="81">
        <v>1039.0</v>
      </c>
      <c r="F317" s="75"/>
      <c r="G317" s="81">
        <f>350</f>
        <v>350</v>
      </c>
      <c r="H317" s="75"/>
      <c r="I317" s="81">
        <f>399+2455</f>
        <v>2854</v>
      </c>
      <c r="J317" s="75"/>
      <c r="K317" s="81">
        <v>0.0</v>
      </c>
      <c r="L317" s="75"/>
      <c r="M317" s="81">
        <v>0.0</v>
      </c>
      <c r="N317" s="80"/>
      <c r="O317" s="83">
        <f t="shared" si="12"/>
        <v>4243</v>
      </c>
      <c r="P317" s="80"/>
      <c r="Q317" s="35"/>
    </row>
    <row r="318">
      <c r="A318" s="45"/>
      <c r="B318" s="45"/>
      <c r="C318" s="70"/>
      <c r="D318" s="87" t="s">
        <v>23</v>
      </c>
      <c r="E318" s="81">
        <f>3300+3000+6765</f>
        <v>13065</v>
      </c>
      <c r="F318" s="75"/>
      <c r="G318" s="81">
        <f>3566</f>
        <v>3566</v>
      </c>
      <c r="H318" s="75"/>
      <c r="I318" s="79">
        <f>3000+3500+3700+8350/2</f>
        <v>14375</v>
      </c>
      <c r="J318" s="75"/>
      <c r="K318" s="81">
        <v>3566.0</v>
      </c>
      <c r="L318" s="75"/>
      <c r="M318" s="81">
        <v>0.0</v>
      </c>
      <c r="N318" s="80"/>
      <c r="O318" s="83">
        <f t="shared" si="12"/>
        <v>34572</v>
      </c>
      <c r="P318" s="80"/>
      <c r="Q318" s="35"/>
    </row>
    <row r="319">
      <c r="A319" s="45"/>
      <c r="B319" s="45"/>
      <c r="C319" s="70"/>
      <c r="D319" s="77" t="s">
        <v>24</v>
      </c>
      <c r="E319" s="81">
        <f>1250+940+2775</f>
        <v>4965</v>
      </c>
      <c r="F319" s="75"/>
      <c r="G319" s="81">
        <f>1313+1250</f>
        <v>2563</v>
      </c>
      <c r="H319" s="75"/>
      <c r="I319" s="81">
        <f>750+2600/2+1250+1250+940+1300</f>
        <v>6790</v>
      </c>
      <c r="J319" s="75"/>
      <c r="K319" s="81">
        <f>1250+940+1250</f>
        <v>3440</v>
      </c>
      <c r="L319" s="75"/>
      <c r="M319" s="81">
        <v>0.0</v>
      </c>
      <c r="N319" s="80"/>
      <c r="O319" s="83">
        <f t="shared" si="12"/>
        <v>17758</v>
      </c>
      <c r="P319" s="80"/>
      <c r="Q319" s="35"/>
    </row>
    <row r="320">
      <c r="A320" s="45"/>
      <c r="B320" s="45"/>
      <c r="C320" s="70"/>
      <c r="D320" s="77" t="s">
        <v>25</v>
      </c>
      <c r="E320" s="81">
        <v>0.0</v>
      </c>
      <c r="F320" s="75"/>
      <c r="G320" s="79">
        <f>12870+2879+36940</f>
        <v>52689</v>
      </c>
      <c r="H320" s="75"/>
      <c r="I320" s="81">
        <v>0.0</v>
      </c>
      <c r="J320" s="75"/>
      <c r="K320" s="81">
        <v>0.0</v>
      </c>
      <c r="L320" s="75"/>
      <c r="M320" s="81">
        <v>0.0</v>
      </c>
      <c r="N320" s="80"/>
      <c r="O320" s="83">
        <f t="shared" si="12"/>
        <v>52689</v>
      </c>
      <c r="P320" s="80"/>
      <c r="Q320" s="35"/>
    </row>
    <row r="321">
      <c r="A321" s="45"/>
      <c r="B321" s="45"/>
      <c r="C321" s="70"/>
      <c r="D321" s="77" t="s">
        <v>26</v>
      </c>
      <c r="E321" s="81">
        <v>0.0</v>
      </c>
      <c r="F321" s="75"/>
      <c r="G321" s="81">
        <v>0.0</v>
      </c>
      <c r="H321" s="75"/>
      <c r="I321" s="79">
        <f>1884</f>
        <v>1884</v>
      </c>
      <c r="J321" s="75"/>
      <c r="K321" s="81">
        <f>6000+39116</f>
        <v>45116</v>
      </c>
      <c r="L321" s="75"/>
      <c r="M321" s="81">
        <v>0.0</v>
      </c>
      <c r="N321" s="80"/>
      <c r="O321" s="83">
        <f t="shared" si="12"/>
        <v>47000</v>
      </c>
      <c r="P321" s="80"/>
      <c r="Q321" s="35"/>
    </row>
    <row r="322">
      <c r="A322" s="45"/>
      <c r="B322" s="45"/>
      <c r="C322" s="70"/>
      <c r="D322" s="77" t="s">
        <v>27</v>
      </c>
      <c r="E322" s="81">
        <v>0.0</v>
      </c>
      <c r="F322" s="75"/>
      <c r="G322" s="81">
        <v>0.0</v>
      </c>
      <c r="H322" s="75"/>
      <c r="I322" s="81">
        <v>14990.0</v>
      </c>
      <c r="J322" s="75"/>
      <c r="K322" s="81">
        <v>6300.0</v>
      </c>
      <c r="L322" s="75"/>
      <c r="M322" s="81">
        <v>0.0</v>
      </c>
      <c r="N322" s="80"/>
      <c r="O322" s="83">
        <f t="shared" si="12"/>
        <v>21290</v>
      </c>
      <c r="P322" s="80"/>
      <c r="Q322" s="35"/>
    </row>
    <row r="323">
      <c r="A323" s="45"/>
      <c r="B323" s="45"/>
      <c r="C323" s="70"/>
      <c r="D323" s="77" t="s">
        <v>28</v>
      </c>
      <c r="E323" s="81">
        <v>0.0</v>
      </c>
      <c r="F323" s="75"/>
      <c r="G323" s="81">
        <v>0.0</v>
      </c>
      <c r="H323" s="75"/>
      <c r="I323" s="81">
        <v>0.0</v>
      </c>
      <c r="J323" s="75"/>
      <c r="K323" s="81">
        <v>0.0</v>
      </c>
      <c r="L323" s="75"/>
      <c r="M323" s="79">
        <v>0.0</v>
      </c>
      <c r="N323" s="80"/>
      <c r="O323" s="83">
        <f t="shared" si="12"/>
        <v>0</v>
      </c>
      <c r="P323" s="80"/>
      <c r="Q323" s="35"/>
    </row>
    <row r="324">
      <c r="A324" s="45"/>
      <c r="B324" s="45"/>
      <c r="C324" s="70"/>
      <c r="D324" s="77" t="s">
        <v>29</v>
      </c>
      <c r="E324" s="79">
        <v>0.0</v>
      </c>
      <c r="F324" s="75"/>
      <c r="G324" s="81">
        <v>0.0</v>
      </c>
      <c r="H324" s="75"/>
      <c r="I324" s="81">
        <v>0.0</v>
      </c>
      <c r="J324" s="75"/>
      <c r="K324" s="81">
        <f>4000+1310</f>
        <v>5310</v>
      </c>
      <c r="L324" s="75"/>
      <c r="M324" s="83">
        <v>0.0</v>
      </c>
      <c r="N324" s="80"/>
      <c r="O324" s="83">
        <f t="shared" si="12"/>
        <v>5310</v>
      </c>
      <c r="P324" s="80"/>
      <c r="Q324" s="35"/>
    </row>
    <row r="325">
      <c r="A325" s="45"/>
      <c r="B325" s="45"/>
      <c r="C325" s="70"/>
      <c r="D325" s="77" t="s">
        <v>30</v>
      </c>
      <c r="E325" s="81">
        <f>2245</f>
        <v>2245</v>
      </c>
      <c r="F325" s="75"/>
      <c r="G325" s="81">
        <f>9213+675</f>
        <v>9888</v>
      </c>
      <c r="H325" s="75"/>
      <c r="I325" s="81">
        <f>3728+4800</f>
        <v>8528</v>
      </c>
      <c r="J325" s="75"/>
      <c r="K325" s="81">
        <v>0.0</v>
      </c>
      <c r="L325" s="75"/>
      <c r="M325" s="81">
        <v>0.0</v>
      </c>
      <c r="N325" s="200"/>
      <c r="O325" s="83">
        <f t="shared" si="12"/>
        <v>20661</v>
      </c>
      <c r="P325" s="80"/>
      <c r="Q325" s="35"/>
    </row>
    <row r="326">
      <c r="A326" s="45"/>
      <c r="B326" s="45"/>
      <c r="C326" s="70"/>
      <c r="D326" s="89" t="s">
        <v>31</v>
      </c>
      <c r="E326" s="81">
        <f>60343</f>
        <v>60343</v>
      </c>
      <c r="F326" s="75"/>
      <c r="G326" s="81">
        <v>0.0</v>
      </c>
      <c r="H326" s="75"/>
      <c r="I326" s="81">
        <f>2600/2+61641+8350/2</f>
        <v>67116</v>
      </c>
      <c r="J326" s="75"/>
      <c r="K326" s="81">
        <f>1880/2</f>
        <v>940</v>
      </c>
      <c r="L326" s="75"/>
      <c r="M326" s="81">
        <v>0.0</v>
      </c>
      <c r="N326" s="80"/>
      <c r="O326" s="217">
        <f t="shared" si="12"/>
        <v>128399</v>
      </c>
      <c r="P326" s="80"/>
      <c r="Q326" s="35"/>
    </row>
    <row r="327">
      <c r="A327" s="45"/>
      <c r="B327" s="45"/>
      <c r="C327" s="70"/>
      <c r="D327" s="77" t="s">
        <v>32</v>
      </c>
      <c r="E327" s="81">
        <v>0.0</v>
      </c>
      <c r="F327" s="75"/>
      <c r="G327" s="81">
        <v>0.0</v>
      </c>
      <c r="H327" s="75"/>
      <c r="I327" s="81">
        <v>0.0</v>
      </c>
      <c r="J327" s="75"/>
      <c r="K327" s="81">
        <v>0.0</v>
      </c>
      <c r="L327" s="75"/>
      <c r="M327" s="81">
        <v>0.0</v>
      </c>
      <c r="N327" s="80"/>
      <c r="O327" s="83">
        <f t="shared" si="12"/>
        <v>0</v>
      </c>
      <c r="P327" s="80"/>
      <c r="Q327" s="35"/>
    </row>
    <row r="328">
      <c r="A328" s="45"/>
      <c r="B328" s="45"/>
      <c r="C328" s="70"/>
      <c r="D328" s="77" t="s">
        <v>33</v>
      </c>
      <c r="E328" s="81">
        <v>0.0</v>
      </c>
      <c r="F328" s="75"/>
      <c r="G328" s="79">
        <f>2495+1590+1000</f>
        <v>5085</v>
      </c>
      <c r="H328" s="75"/>
      <c r="I328" s="81">
        <f>800</f>
        <v>800</v>
      </c>
      <c r="J328" s="75"/>
      <c r="K328" s="81">
        <v>0.0</v>
      </c>
      <c r="L328" s="75"/>
      <c r="M328" s="81">
        <v>0.0</v>
      </c>
      <c r="N328" s="80"/>
      <c r="O328" s="83">
        <f t="shared" si="12"/>
        <v>5885</v>
      </c>
      <c r="P328" s="80"/>
      <c r="Q328" s="35"/>
    </row>
    <row r="329">
      <c r="A329" s="45"/>
      <c r="B329" s="45"/>
      <c r="C329" s="93"/>
      <c r="D329" s="94" t="s">
        <v>34</v>
      </c>
      <c r="E329" s="95">
        <f>SUM(E330:F333)</f>
        <v>954198</v>
      </c>
      <c r="F329" s="75"/>
      <c r="G329" s="95">
        <f>SUM(G330:G333)</f>
        <v>0</v>
      </c>
      <c r="H329" s="75"/>
      <c r="I329" s="95">
        <f>SUM(I330:I333)</f>
        <v>70000</v>
      </c>
      <c r="J329" s="75"/>
      <c r="K329" s="95">
        <f>SUM(K330:K333)</f>
        <v>0</v>
      </c>
      <c r="L329" s="75"/>
      <c r="M329" s="95">
        <f>SUM(M330:M333)</f>
        <v>0</v>
      </c>
      <c r="N329" s="93"/>
      <c r="O329" s="95">
        <f t="shared" si="12"/>
        <v>1024198</v>
      </c>
      <c r="P329" s="93"/>
      <c r="Q329" s="35"/>
    </row>
    <row r="330">
      <c r="A330" s="45"/>
      <c r="B330" s="45"/>
      <c r="C330" s="98"/>
      <c r="D330" s="77" t="s">
        <v>35</v>
      </c>
      <c r="E330" s="81">
        <v>945535.0</v>
      </c>
      <c r="F330" s="75"/>
      <c r="G330" s="81">
        <v>0.0</v>
      </c>
      <c r="H330" s="75"/>
      <c r="I330" s="81"/>
      <c r="J330" s="83">
        <v>0.0</v>
      </c>
      <c r="K330" s="83">
        <v>0.0</v>
      </c>
      <c r="L330" s="75"/>
      <c r="M330" s="83">
        <v>0.0</v>
      </c>
      <c r="N330" s="80"/>
      <c r="O330" s="83">
        <f t="shared" si="12"/>
        <v>945535</v>
      </c>
      <c r="P330" s="80"/>
      <c r="Q330" s="35"/>
    </row>
    <row r="331">
      <c r="A331" s="45"/>
      <c r="B331" s="45"/>
      <c r="C331" s="98"/>
      <c r="D331" s="77" t="s">
        <v>36</v>
      </c>
      <c r="E331" s="81">
        <v>0.0</v>
      </c>
      <c r="F331" s="75"/>
      <c r="G331" s="102"/>
      <c r="H331" s="83">
        <v>0.0</v>
      </c>
      <c r="I331" s="102"/>
      <c r="J331" s="83">
        <v>0.0</v>
      </c>
      <c r="K331" s="102"/>
      <c r="L331" s="83">
        <v>0.0</v>
      </c>
      <c r="M331" s="83">
        <v>0.0</v>
      </c>
      <c r="N331" s="80"/>
      <c r="O331" s="83">
        <f t="shared" si="12"/>
        <v>0</v>
      </c>
      <c r="P331" s="80"/>
      <c r="Q331" s="35"/>
    </row>
    <row r="332">
      <c r="A332" s="45"/>
      <c r="B332" s="45"/>
      <c r="C332" s="98"/>
      <c r="D332" s="77" t="s">
        <v>37</v>
      </c>
      <c r="E332" s="83">
        <v>0.0</v>
      </c>
      <c r="F332" s="75"/>
      <c r="G332" s="83">
        <v>0.0</v>
      </c>
      <c r="H332" s="75"/>
      <c r="I332" s="81">
        <v>70000.0</v>
      </c>
      <c r="J332" s="75"/>
      <c r="K332" s="83">
        <v>0.0</v>
      </c>
      <c r="L332" s="75"/>
      <c r="M332" s="83">
        <v>0.0</v>
      </c>
      <c r="N332" s="80"/>
      <c r="O332" s="83">
        <f t="shared" si="12"/>
        <v>70000</v>
      </c>
      <c r="P332" s="80"/>
      <c r="Q332" s="35"/>
    </row>
    <row r="333">
      <c r="A333" s="45"/>
      <c r="B333" s="45"/>
      <c r="C333" s="109"/>
      <c r="D333" s="110" t="s">
        <v>33</v>
      </c>
      <c r="E333" s="113">
        <v>8663.0</v>
      </c>
      <c r="F333" s="112"/>
      <c r="G333" s="113">
        <v>0.0</v>
      </c>
      <c r="H333" s="112"/>
      <c r="I333" s="113">
        <v>0.0</v>
      </c>
      <c r="J333" s="112"/>
      <c r="K333" s="113">
        <v>0.0</v>
      </c>
      <c r="L333" s="112"/>
      <c r="M333" s="111">
        <v>0.0</v>
      </c>
      <c r="N333" s="114"/>
      <c r="O333" s="111">
        <f t="shared" si="12"/>
        <v>8663</v>
      </c>
      <c r="P333" s="114"/>
      <c r="Q333" s="35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</row>
    <row r="335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6"/>
      <c r="O335" s="116"/>
      <c r="P335" s="116"/>
      <c r="Q335" s="19"/>
    </row>
  </sheetData>
  <mergeCells count="1139">
    <mergeCell ref="E16:F16"/>
    <mergeCell ref="G16:H16"/>
    <mergeCell ref="I16:J16"/>
    <mergeCell ref="K16:L16"/>
    <mergeCell ref="G17:H17"/>
    <mergeCell ref="I17:J17"/>
    <mergeCell ref="K17:L17"/>
    <mergeCell ref="E17:F17"/>
    <mergeCell ref="E18:F18"/>
    <mergeCell ref="G18:H18"/>
    <mergeCell ref="I18:J18"/>
    <mergeCell ref="K18:L18"/>
    <mergeCell ref="E19:F19"/>
    <mergeCell ref="G19:H19"/>
    <mergeCell ref="G7:H7"/>
    <mergeCell ref="I7:J7"/>
    <mergeCell ref="E8:F8"/>
    <mergeCell ref="G8:H8"/>
    <mergeCell ref="I8:J8"/>
    <mergeCell ref="K8:L8"/>
    <mergeCell ref="K9:L9"/>
    <mergeCell ref="E9:F9"/>
    <mergeCell ref="E10:F10"/>
    <mergeCell ref="G10:H10"/>
    <mergeCell ref="I10:J10"/>
    <mergeCell ref="K10:L10"/>
    <mergeCell ref="E11:F11"/>
    <mergeCell ref="G11:H11"/>
    <mergeCell ref="E12:F12"/>
    <mergeCell ref="G12:H12"/>
    <mergeCell ref="I12:J12"/>
    <mergeCell ref="K12:L12"/>
    <mergeCell ref="G13:H13"/>
    <mergeCell ref="I13:J13"/>
    <mergeCell ref="K13:L13"/>
    <mergeCell ref="I15:J15"/>
    <mergeCell ref="K15:L15"/>
    <mergeCell ref="E13:F13"/>
    <mergeCell ref="E14:F14"/>
    <mergeCell ref="G14:H14"/>
    <mergeCell ref="I14:J14"/>
    <mergeCell ref="K14:L14"/>
    <mergeCell ref="E15:F15"/>
    <mergeCell ref="G15:H15"/>
    <mergeCell ref="I19:J19"/>
    <mergeCell ref="K19:L19"/>
    <mergeCell ref="G26:H26"/>
    <mergeCell ref="I26:J26"/>
    <mergeCell ref="E23:F23"/>
    <mergeCell ref="E24:F24"/>
    <mergeCell ref="E25:F25"/>
    <mergeCell ref="G25:H25"/>
    <mergeCell ref="I25:J25"/>
    <mergeCell ref="K25:L25"/>
    <mergeCell ref="E26:F26"/>
    <mergeCell ref="K26:L26"/>
    <mergeCell ref="E41:F41"/>
    <mergeCell ref="E42:F42"/>
    <mergeCell ref="G42:H42"/>
    <mergeCell ref="I42:J42"/>
    <mergeCell ref="K42:L42"/>
    <mergeCell ref="E43:F43"/>
    <mergeCell ref="G43:H43"/>
    <mergeCell ref="E44:F44"/>
    <mergeCell ref="G44:H44"/>
    <mergeCell ref="I44:J44"/>
    <mergeCell ref="K44:L44"/>
    <mergeCell ref="G45:H45"/>
    <mergeCell ref="I45:J45"/>
    <mergeCell ref="K45:L45"/>
    <mergeCell ref="I47:J47"/>
    <mergeCell ref="K47:L47"/>
    <mergeCell ref="E45:F45"/>
    <mergeCell ref="E46:F46"/>
    <mergeCell ref="G46:H46"/>
    <mergeCell ref="I46:J46"/>
    <mergeCell ref="K46:L46"/>
    <mergeCell ref="E47:F47"/>
    <mergeCell ref="G47:H47"/>
    <mergeCell ref="G37:H37"/>
    <mergeCell ref="I37:J37"/>
    <mergeCell ref="G35:H35"/>
    <mergeCell ref="I35:J35"/>
    <mergeCell ref="E36:F36"/>
    <mergeCell ref="G36:H36"/>
    <mergeCell ref="I36:J36"/>
    <mergeCell ref="K36:L36"/>
    <mergeCell ref="K37:L37"/>
    <mergeCell ref="I39:J39"/>
    <mergeCell ref="K39:L39"/>
    <mergeCell ref="E37:F37"/>
    <mergeCell ref="E38:F38"/>
    <mergeCell ref="G38:H38"/>
    <mergeCell ref="I38:J38"/>
    <mergeCell ref="K38:L38"/>
    <mergeCell ref="E39:F39"/>
    <mergeCell ref="G39:H39"/>
    <mergeCell ref="E40:F40"/>
    <mergeCell ref="G40:H40"/>
    <mergeCell ref="I40:J40"/>
    <mergeCell ref="K40:L40"/>
    <mergeCell ref="G41:H41"/>
    <mergeCell ref="I41:J41"/>
    <mergeCell ref="K41:L41"/>
    <mergeCell ref="I43:J43"/>
    <mergeCell ref="K43:L43"/>
    <mergeCell ref="E54:F54"/>
    <mergeCell ref="G54:H54"/>
    <mergeCell ref="I54:J54"/>
    <mergeCell ref="K54:L54"/>
    <mergeCell ref="I51:J51"/>
    <mergeCell ref="K51:L51"/>
    <mergeCell ref="E52:F52"/>
    <mergeCell ref="E53:F53"/>
    <mergeCell ref="G53:H53"/>
    <mergeCell ref="I53:J53"/>
    <mergeCell ref="K53:L53"/>
    <mergeCell ref="O2:O3"/>
    <mergeCell ref="P2:P3"/>
    <mergeCell ref="Q2:Q3"/>
    <mergeCell ref="K2:L2"/>
    <mergeCell ref="K3:L3"/>
    <mergeCell ref="D2:E2"/>
    <mergeCell ref="F2:G3"/>
    <mergeCell ref="H2:I2"/>
    <mergeCell ref="J2:J3"/>
    <mergeCell ref="M2:N2"/>
    <mergeCell ref="H3:I3"/>
    <mergeCell ref="M3:N3"/>
    <mergeCell ref="C5:P5"/>
    <mergeCell ref="E6:F6"/>
    <mergeCell ref="G6:H6"/>
    <mergeCell ref="I6:J6"/>
    <mergeCell ref="K6:L6"/>
    <mergeCell ref="E7:F7"/>
    <mergeCell ref="K7:L7"/>
    <mergeCell ref="G9:H9"/>
    <mergeCell ref="I9:J9"/>
    <mergeCell ref="I11:J11"/>
    <mergeCell ref="K11:L11"/>
    <mergeCell ref="C3:E3"/>
    <mergeCell ref="E20:F20"/>
    <mergeCell ref="G20:H20"/>
    <mergeCell ref="I20:J20"/>
    <mergeCell ref="K20:L20"/>
    <mergeCell ref="G21:H21"/>
    <mergeCell ref="I21:J21"/>
    <mergeCell ref="K21:L21"/>
    <mergeCell ref="E21:F21"/>
    <mergeCell ref="E22:F22"/>
    <mergeCell ref="G22:H22"/>
    <mergeCell ref="I22:J22"/>
    <mergeCell ref="K22:L22"/>
    <mergeCell ref="G23:H23"/>
    <mergeCell ref="K23:L23"/>
    <mergeCell ref="O30:O31"/>
    <mergeCell ref="P30:P31"/>
    <mergeCell ref="Q30:Q31"/>
    <mergeCell ref="K30:L30"/>
    <mergeCell ref="K31:L31"/>
    <mergeCell ref="D30:E30"/>
    <mergeCell ref="F30:G31"/>
    <mergeCell ref="H30:I30"/>
    <mergeCell ref="J30:J31"/>
    <mergeCell ref="M30:N30"/>
    <mergeCell ref="H31:I31"/>
    <mergeCell ref="M31:N31"/>
    <mergeCell ref="C33:P33"/>
    <mergeCell ref="E34:F34"/>
    <mergeCell ref="G34:H34"/>
    <mergeCell ref="I34:J34"/>
    <mergeCell ref="K34:L34"/>
    <mergeCell ref="E35:F35"/>
    <mergeCell ref="K35:L35"/>
    <mergeCell ref="C31:E31"/>
    <mergeCell ref="G260:H260"/>
    <mergeCell ref="I260:J260"/>
    <mergeCell ref="G258:H258"/>
    <mergeCell ref="I258:J258"/>
    <mergeCell ref="E259:F259"/>
    <mergeCell ref="G259:H259"/>
    <mergeCell ref="I259:J259"/>
    <mergeCell ref="K259:L259"/>
    <mergeCell ref="K260:L260"/>
    <mergeCell ref="I262:J262"/>
    <mergeCell ref="K262:L262"/>
    <mergeCell ref="E260:F260"/>
    <mergeCell ref="E261:F261"/>
    <mergeCell ref="G261:H261"/>
    <mergeCell ref="I261:J261"/>
    <mergeCell ref="K261:L261"/>
    <mergeCell ref="E262:F262"/>
    <mergeCell ref="G262:H262"/>
    <mergeCell ref="E263:F263"/>
    <mergeCell ref="G263:H263"/>
    <mergeCell ref="I263:J263"/>
    <mergeCell ref="K263:L263"/>
    <mergeCell ref="G264:H264"/>
    <mergeCell ref="I264:J264"/>
    <mergeCell ref="K264:L264"/>
    <mergeCell ref="I266:J266"/>
    <mergeCell ref="K266:L266"/>
    <mergeCell ref="G277:H277"/>
    <mergeCell ref="I277:J277"/>
    <mergeCell ref="H280:I280"/>
    <mergeCell ref="K280:L280"/>
    <mergeCell ref="E274:F274"/>
    <mergeCell ref="E275:F275"/>
    <mergeCell ref="E276:F276"/>
    <mergeCell ref="G276:H276"/>
    <mergeCell ref="I276:J276"/>
    <mergeCell ref="K276:L276"/>
    <mergeCell ref="E277:F277"/>
    <mergeCell ref="K277:L277"/>
    <mergeCell ref="E271:F271"/>
    <mergeCell ref="G271:H271"/>
    <mergeCell ref="I271:J271"/>
    <mergeCell ref="K271:L271"/>
    <mergeCell ref="G272:H272"/>
    <mergeCell ref="I272:J272"/>
    <mergeCell ref="K272:L272"/>
    <mergeCell ref="E272:F272"/>
    <mergeCell ref="E273:F273"/>
    <mergeCell ref="G273:H273"/>
    <mergeCell ref="I273:J273"/>
    <mergeCell ref="K273:L273"/>
    <mergeCell ref="G274:H274"/>
    <mergeCell ref="K274:L274"/>
    <mergeCell ref="O281:O282"/>
    <mergeCell ref="P281:P282"/>
    <mergeCell ref="Q281:Q282"/>
    <mergeCell ref="K281:L281"/>
    <mergeCell ref="K282:L282"/>
    <mergeCell ref="C281:E281"/>
    <mergeCell ref="F281:G282"/>
    <mergeCell ref="H281:I281"/>
    <mergeCell ref="J281:J282"/>
    <mergeCell ref="M281:N281"/>
    <mergeCell ref="H282:I282"/>
    <mergeCell ref="M282:N282"/>
    <mergeCell ref="C284:P284"/>
    <mergeCell ref="E285:F285"/>
    <mergeCell ref="G285:H285"/>
    <mergeCell ref="I285:J285"/>
    <mergeCell ref="K285:L285"/>
    <mergeCell ref="E286:F286"/>
    <mergeCell ref="K286:L286"/>
    <mergeCell ref="C282:E282"/>
    <mergeCell ref="E239:F239"/>
    <mergeCell ref="G239:H239"/>
    <mergeCell ref="I239:J239"/>
    <mergeCell ref="K239:L239"/>
    <mergeCell ref="G240:H240"/>
    <mergeCell ref="I240:J240"/>
    <mergeCell ref="K240:L240"/>
    <mergeCell ref="E240:F240"/>
    <mergeCell ref="E241:F241"/>
    <mergeCell ref="G241:H241"/>
    <mergeCell ref="I241:J241"/>
    <mergeCell ref="K241:L241"/>
    <mergeCell ref="E242:F242"/>
    <mergeCell ref="G242:H242"/>
    <mergeCell ref="G230:H230"/>
    <mergeCell ref="I230:J230"/>
    <mergeCell ref="E231:F231"/>
    <mergeCell ref="G231:H231"/>
    <mergeCell ref="I231:J231"/>
    <mergeCell ref="K231:L231"/>
    <mergeCell ref="K232:L232"/>
    <mergeCell ref="E232:F232"/>
    <mergeCell ref="E233:F233"/>
    <mergeCell ref="G233:H233"/>
    <mergeCell ref="I233:J233"/>
    <mergeCell ref="K233:L233"/>
    <mergeCell ref="E234:F234"/>
    <mergeCell ref="G234:H234"/>
    <mergeCell ref="E235:F235"/>
    <mergeCell ref="G235:H235"/>
    <mergeCell ref="I235:J235"/>
    <mergeCell ref="K235:L235"/>
    <mergeCell ref="G236:H236"/>
    <mergeCell ref="I236:J236"/>
    <mergeCell ref="K236:L236"/>
    <mergeCell ref="I238:J238"/>
    <mergeCell ref="K238:L238"/>
    <mergeCell ref="E236:F236"/>
    <mergeCell ref="E237:F237"/>
    <mergeCell ref="G237:H237"/>
    <mergeCell ref="I237:J237"/>
    <mergeCell ref="K237:L237"/>
    <mergeCell ref="E238:F238"/>
    <mergeCell ref="G238:H238"/>
    <mergeCell ref="I242:J242"/>
    <mergeCell ref="K242:L242"/>
    <mergeCell ref="G249:H249"/>
    <mergeCell ref="I249:J249"/>
    <mergeCell ref="H252:I252"/>
    <mergeCell ref="K252:L252"/>
    <mergeCell ref="E246:F246"/>
    <mergeCell ref="E247:F247"/>
    <mergeCell ref="E248:F248"/>
    <mergeCell ref="G248:H248"/>
    <mergeCell ref="I248:J248"/>
    <mergeCell ref="K248:L248"/>
    <mergeCell ref="E249:F249"/>
    <mergeCell ref="K249:L249"/>
    <mergeCell ref="E264:F264"/>
    <mergeCell ref="E265:F265"/>
    <mergeCell ref="G265:H265"/>
    <mergeCell ref="I265:J265"/>
    <mergeCell ref="K265:L265"/>
    <mergeCell ref="E266:F266"/>
    <mergeCell ref="G266:H266"/>
    <mergeCell ref="E267:F267"/>
    <mergeCell ref="G267:H267"/>
    <mergeCell ref="I267:J267"/>
    <mergeCell ref="K267:L267"/>
    <mergeCell ref="G268:H268"/>
    <mergeCell ref="I268:J268"/>
    <mergeCell ref="K268:L268"/>
    <mergeCell ref="I270:J270"/>
    <mergeCell ref="K270:L270"/>
    <mergeCell ref="E268:F268"/>
    <mergeCell ref="E269:F269"/>
    <mergeCell ref="G269:H269"/>
    <mergeCell ref="I269:J269"/>
    <mergeCell ref="K269:L269"/>
    <mergeCell ref="E270:F270"/>
    <mergeCell ref="G270:H270"/>
    <mergeCell ref="E243:F243"/>
    <mergeCell ref="G243:H243"/>
    <mergeCell ref="I243:J243"/>
    <mergeCell ref="K243:L243"/>
    <mergeCell ref="G244:H244"/>
    <mergeCell ref="I244:J244"/>
    <mergeCell ref="K244:L244"/>
    <mergeCell ref="E244:F244"/>
    <mergeCell ref="E245:F245"/>
    <mergeCell ref="G245:H245"/>
    <mergeCell ref="I245:J245"/>
    <mergeCell ref="K245:L245"/>
    <mergeCell ref="G246:H246"/>
    <mergeCell ref="K246:L246"/>
    <mergeCell ref="O253:O254"/>
    <mergeCell ref="P253:P254"/>
    <mergeCell ref="Q253:Q254"/>
    <mergeCell ref="K253:L253"/>
    <mergeCell ref="K254:L254"/>
    <mergeCell ref="C253:E253"/>
    <mergeCell ref="F253:G254"/>
    <mergeCell ref="H253:I253"/>
    <mergeCell ref="J253:J254"/>
    <mergeCell ref="M253:N253"/>
    <mergeCell ref="H254:I254"/>
    <mergeCell ref="M254:N254"/>
    <mergeCell ref="C256:P256"/>
    <mergeCell ref="E257:F257"/>
    <mergeCell ref="G257:H257"/>
    <mergeCell ref="I257:J257"/>
    <mergeCell ref="K257:L257"/>
    <mergeCell ref="E258:F258"/>
    <mergeCell ref="K258:L258"/>
    <mergeCell ref="C254:E254"/>
    <mergeCell ref="E97:F97"/>
    <mergeCell ref="E98:F98"/>
    <mergeCell ref="G98:H98"/>
    <mergeCell ref="I98:J98"/>
    <mergeCell ref="K98:L98"/>
    <mergeCell ref="E99:F99"/>
    <mergeCell ref="G99:H99"/>
    <mergeCell ref="E100:F100"/>
    <mergeCell ref="G100:H100"/>
    <mergeCell ref="I100:J100"/>
    <mergeCell ref="K100:L100"/>
    <mergeCell ref="G101:H101"/>
    <mergeCell ref="I101:J101"/>
    <mergeCell ref="K101:L101"/>
    <mergeCell ref="G93:H93"/>
    <mergeCell ref="I93:J93"/>
    <mergeCell ref="G91:H91"/>
    <mergeCell ref="I91:J91"/>
    <mergeCell ref="E92:F92"/>
    <mergeCell ref="G92:H92"/>
    <mergeCell ref="I92:J92"/>
    <mergeCell ref="K92:L92"/>
    <mergeCell ref="K93:L93"/>
    <mergeCell ref="I95:J95"/>
    <mergeCell ref="K95:L95"/>
    <mergeCell ref="E93:F93"/>
    <mergeCell ref="E94:F94"/>
    <mergeCell ref="G94:H94"/>
    <mergeCell ref="I94:J94"/>
    <mergeCell ref="K94:L94"/>
    <mergeCell ref="E95:F95"/>
    <mergeCell ref="G95:H95"/>
    <mergeCell ref="E96:F96"/>
    <mergeCell ref="G96:H96"/>
    <mergeCell ref="I96:J96"/>
    <mergeCell ref="K96:L96"/>
    <mergeCell ref="G97:H97"/>
    <mergeCell ref="I97:J97"/>
    <mergeCell ref="K97:L97"/>
    <mergeCell ref="I99:J99"/>
    <mergeCell ref="K99:L99"/>
    <mergeCell ref="E110:F110"/>
    <mergeCell ref="G110:H110"/>
    <mergeCell ref="I110:J110"/>
    <mergeCell ref="K110:L110"/>
    <mergeCell ref="I107:J107"/>
    <mergeCell ref="K107:L107"/>
    <mergeCell ref="E108:F108"/>
    <mergeCell ref="E109:F109"/>
    <mergeCell ref="G109:H109"/>
    <mergeCell ref="I109:J109"/>
    <mergeCell ref="K109:L109"/>
    <mergeCell ref="E48:F48"/>
    <mergeCell ref="G48:H48"/>
    <mergeCell ref="I48:J48"/>
    <mergeCell ref="K48:L48"/>
    <mergeCell ref="G49:H49"/>
    <mergeCell ref="I49:J49"/>
    <mergeCell ref="K49:L49"/>
    <mergeCell ref="E49:F49"/>
    <mergeCell ref="E50:F50"/>
    <mergeCell ref="G50:H50"/>
    <mergeCell ref="I50:J50"/>
    <mergeCell ref="K50:L50"/>
    <mergeCell ref="E51:F51"/>
    <mergeCell ref="G51:H51"/>
    <mergeCell ref="O58:O59"/>
    <mergeCell ref="P58:P59"/>
    <mergeCell ref="Q58:Q59"/>
    <mergeCell ref="K58:L58"/>
    <mergeCell ref="K59:L59"/>
    <mergeCell ref="D58:E58"/>
    <mergeCell ref="F58:G59"/>
    <mergeCell ref="H58:I58"/>
    <mergeCell ref="J58:J59"/>
    <mergeCell ref="M58:N58"/>
    <mergeCell ref="H59:I59"/>
    <mergeCell ref="M59:N59"/>
    <mergeCell ref="C61:P61"/>
    <mergeCell ref="E62:F62"/>
    <mergeCell ref="G62:H62"/>
    <mergeCell ref="I62:J62"/>
    <mergeCell ref="K62:L62"/>
    <mergeCell ref="E63:F63"/>
    <mergeCell ref="K63:L63"/>
    <mergeCell ref="C59:E59"/>
    <mergeCell ref="E69:F69"/>
    <mergeCell ref="E70:F70"/>
    <mergeCell ref="G70:H70"/>
    <mergeCell ref="I70:J70"/>
    <mergeCell ref="K70:L70"/>
    <mergeCell ref="E71:F71"/>
    <mergeCell ref="G71:H71"/>
    <mergeCell ref="E72:F72"/>
    <mergeCell ref="G72:H72"/>
    <mergeCell ref="I72:J72"/>
    <mergeCell ref="K72:L72"/>
    <mergeCell ref="G73:H73"/>
    <mergeCell ref="I73:J73"/>
    <mergeCell ref="K73:L73"/>
    <mergeCell ref="I75:J75"/>
    <mergeCell ref="K75:L75"/>
    <mergeCell ref="E73:F73"/>
    <mergeCell ref="E74:F74"/>
    <mergeCell ref="G74:H74"/>
    <mergeCell ref="I74:J74"/>
    <mergeCell ref="K74:L74"/>
    <mergeCell ref="E75:F75"/>
    <mergeCell ref="G75:H75"/>
    <mergeCell ref="G65:H65"/>
    <mergeCell ref="I65:J65"/>
    <mergeCell ref="G63:H63"/>
    <mergeCell ref="I63:J63"/>
    <mergeCell ref="E64:F64"/>
    <mergeCell ref="G64:H64"/>
    <mergeCell ref="I64:J64"/>
    <mergeCell ref="K64:L64"/>
    <mergeCell ref="K65:L65"/>
    <mergeCell ref="I67:J67"/>
    <mergeCell ref="K67:L67"/>
    <mergeCell ref="E65:F65"/>
    <mergeCell ref="E66:F66"/>
    <mergeCell ref="G66:H66"/>
    <mergeCell ref="I66:J66"/>
    <mergeCell ref="K66:L66"/>
    <mergeCell ref="E67:F67"/>
    <mergeCell ref="G67:H67"/>
    <mergeCell ref="E68:F68"/>
    <mergeCell ref="G68:H68"/>
    <mergeCell ref="I68:J68"/>
    <mergeCell ref="K68:L68"/>
    <mergeCell ref="G69:H69"/>
    <mergeCell ref="I69:J69"/>
    <mergeCell ref="K69:L69"/>
    <mergeCell ref="I71:J71"/>
    <mergeCell ref="K71:L71"/>
    <mergeCell ref="E82:F82"/>
    <mergeCell ref="G82:H82"/>
    <mergeCell ref="I82:J82"/>
    <mergeCell ref="K82:L82"/>
    <mergeCell ref="I79:J79"/>
    <mergeCell ref="K79:L79"/>
    <mergeCell ref="E80:F80"/>
    <mergeCell ref="E81:F81"/>
    <mergeCell ref="G81:H81"/>
    <mergeCell ref="I81:J81"/>
    <mergeCell ref="K81:L81"/>
    <mergeCell ref="E76:F76"/>
    <mergeCell ref="G76:H76"/>
    <mergeCell ref="I76:J76"/>
    <mergeCell ref="K76:L76"/>
    <mergeCell ref="G77:H77"/>
    <mergeCell ref="I77:J77"/>
    <mergeCell ref="K77:L77"/>
    <mergeCell ref="E77:F77"/>
    <mergeCell ref="E78:F78"/>
    <mergeCell ref="G78:H78"/>
    <mergeCell ref="I78:J78"/>
    <mergeCell ref="K78:L78"/>
    <mergeCell ref="E79:F79"/>
    <mergeCell ref="G79:H79"/>
    <mergeCell ref="O86:O87"/>
    <mergeCell ref="P86:P87"/>
    <mergeCell ref="Q86:Q87"/>
    <mergeCell ref="K86:L86"/>
    <mergeCell ref="K87:L87"/>
    <mergeCell ref="D86:E86"/>
    <mergeCell ref="F86:G87"/>
    <mergeCell ref="H86:I86"/>
    <mergeCell ref="J86:J87"/>
    <mergeCell ref="M86:N86"/>
    <mergeCell ref="H87:I87"/>
    <mergeCell ref="M87:N87"/>
    <mergeCell ref="C89:P89"/>
    <mergeCell ref="E90:F90"/>
    <mergeCell ref="G90:H90"/>
    <mergeCell ref="I90:J90"/>
    <mergeCell ref="K90:L90"/>
    <mergeCell ref="E91:F91"/>
    <mergeCell ref="K91:L91"/>
    <mergeCell ref="C87:E87"/>
    <mergeCell ref="I103:J103"/>
    <mergeCell ref="K103:L103"/>
    <mergeCell ref="E101:F101"/>
    <mergeCell ref="E102:F102"/>
    <mergeCell ref="G102:H102"/>
    <mergeCell ref="I102:J102"/>
    <mergeCell ref="K102:L102"/>
    <mergeCell ref="E103:F103"/>
    <mergeCell ref="G103:H103"/>
    <mergeCell ref="E104:F104"/>
    <mergeCell ref="G104:H104"/>
    <mergeCell ref="I104:J104"/>
    <mergeCell ref="K104:L104"/>
    <mergeCell ref="G105:H105"/>
    <mergeCell ref="I105:J105"/>
    <mergeCell ref="K105:L105"/>
    <mergeCell ref="E105:F105"/>
    <mergeCell ref="E106:F106"/>
    <mergeCell ref="G106:H106"/>
    <mergeCell ref="I106:J106"/>
    <mergeCell ref="K106:L106"/>
    <mergeCell ref="E107:F107"/>
    <mergeCell ref="G107:H107"/>
    <mergeCell ref="O114:O115"/>
    <mergeCell ref="P114:P115"/>
    <mergeCell ref="Q114:Q115"/>
    <mergeCell ref="K114:L114"/>
    <mergeCell ref="K115:L115"/>
    <mergeCell ref="D114:E114"/>
    <mergeCell ref="F114:G115"/>
    <mergeCell ref="H114:I114"/>
    <mergeCell ref="J114:J115"/>
    <mergeCell ref="M114:N114"/>
    <mergeCell ref="H115:I115"/>
    <mergeCell ref="M115:N115"/>
    <mergeCell ref="C117:P117"/>
    <mergeCell ref="E118:F118"/>
    <mergeCell ref="G118:H118"/>
    <mergeCell ref="I118:J118"/>
    <mergeCell ref="K118:L118"/>
    <mergeCell ref="E119:F119"/>
    <mergeCell ref="K119:L119"/>
    <mergeCell ref="C115:E115"/>
    <mergeCell ref="E125:F125"/>
    <mergeCell ref="E126:F126"/>
    <mergeCell ref="G126:H126"/>
    <mergeCell ref="I126:J126"/>
    <mergeCell ref="K126:L126"/>
    <mergeCell ref="E127:F127"/>
    <mergeCell ref="G127:H127"/>
    <mergeCell ref="E128:F128"/>
    <mergeCell ref="G128:H128"/>
    <mergeCell ref="I128:J128"/>
    <mergeCell ref="K128:L128"/>
    <mergeCell ref="G129:H129"/>
    <mergeCell ref="I129:J129"/>
    <mergeCell ref="K129:L129"/>
    <mergeCell ref="I131:J131"/>
    <mergeCell ref="K131:L131"/>
    <mergeCell ref="E129:F129"/>
    <mergeCell ref="E130:F130"/>
    <mergeCell ref="G130:H130"/>
    <mergeCell ref="I130:J130"/>
    <mergeCell ref="K130:L130"/>
    <mergeCell ref="E131:F131"/>
    <mergeCell ref="G131:H131"/>
    <mergeCell ref="G121:H121"/>
    <mergeCell ref="I121:J121"/>
    <mergeCell ref="G119:H119"/>
    <mergeCell ref="I119:J119"/>
    <mergeCell ref="E120:F120"/>
    <mergeCell ref="G120:H120"/>
    <mergeCell ref="I120:J120"/>
    <mergeCell ref="K120:L120"/>
    <mergeCell ref="K121:L121"/>
    <mergeCell ref="I123:J123"/>
    <mergeCell ref="K123:L123"/>
    <mergeCell ref="E121:F121"/>
    <mergeCell ref="E122:F122"/>
    <mergeCell ref="G122:H122"/>
    <mergeCell ref="I122:J122"/>
    <mergeCell ref="K122:L122"/>
    <mergeCell ref="E123:F123"/>
    <mergeCell ref="G123:H123"/>
    <mergeCell ref="E124:F124"/>
    <mergeCell ref="G124:H124"/>
    <mergeCell ref="I124:J124"/>
    <mergeCell ref="K124:L124"/>
    <mergeCell ref="G125:H125"/>
    <mergeCell ref="I125:J125"/>
    <mergeCell ref="K125:L125"/>
    <mergeCell ref="I127:J127"/>
    <mergeCell ref="K127:L127"/>
    <mergeCell ref="G137:H137"/>
    <mergeCell ref="I137:J137"/>
    <mergeCell ref="I135:J135"/>
    <mergeCell ref="K135:L135"/>
    <mergeCell ref="E136:F136"/>
    <mergeCell ref="G136:H136"/>
    <mergeCell ref="I136:J136"/>
    <mergeCell ref="K136:L136"/>
    <mergeCell ref="E137:F137"/>
    <mergeCell ref="K137:L137"/>
    <mergeCell ref="E132:F132"/>
    <mergeCell ref="G132:H132"/>
    <mergeCell ref="I132:J132"/>
    <mergeCell ref="K132:L132"/>
    <mergeCell ref="G133:H133"/>
    <mergeCell ref="I133:J133"/>
    <mergeCell ref="K133:L133"/>
    <mergeCell ref="E133:F133"/>
    <mergeCell ref="E134:F134"/>
    <mergeCell ref="G134:H134"/>
    <mergeCell ref="I134:J134"/>
    <mergeCell ref="K134:L134"/>
    <mergeCell ref="E135:F135"/>
    <mergeCell ref="G135:H135"/>
    <mergeCell ref="O141:O142"/>
    <mergeCell ref="P141:P142"/>
    <mergeCell ref="Q141:Q142"/>
    <mergeCell ref="K141:L141"/>
    <mergeCell ref="K142:L142"/>
    <mergeCell ref="D141:E141"/>
    <mergeCell ref="F141:G142"/>
    <mergeCell ref="H141:I141"/>
    <mergeCell ref="J141:J142"/>
    <mergeCell ref="M141:N141"/>
    <mergeCell ref="H142:I142"/>
    <mergeCell ref="M142:N142"/>
    <mergeCell ref="C144:P144"/>
    <mergeCell ref="E145:F145"/>
    <mergeCell ref="G145:H145"/>
    <mergeCell ref="I145:J145"/>
    <mergeCell ref="K145:L145"/>
    <mergeCell ref="E146:F146"/>
    <mergeCell ref="K146:L146"/>
    <mergeCell ref="C142:E142"/>
    <mergeCell ref="E152:F152"/>
    <mergeCell ref="E153:F153"/>
    <mergeCell ref="G153:H153"/>
    <mergeCell ref="I153:J153"/>
    <mergeCell ref="K153:L153"/>
    <mergeCell ref="E154:F154"/>
    <mergeCell ref="G154:H154"/>
    <mergeCell ref="E155:F155"/>
    <mergeCell ref="G155:H155"/>
    <mergeCell ref="I155:J155"/>
    <mergeCell ref="K155:L155"/>
    <mergeCell ref="G156:H156"/>
    <mergeCell ref="I156:J156"/>
    <mergeCell ref="K156:L156"/>
    <mergeCell ref="I158:J158"/>
    <mergeCell ref="K158:L158"/>
    <mergeCell ref="E156:F156"/>
    <mergeCell ref="E157:F157"/>
    <mergeCell ref="G157:H157"/>
    <mergeCell ref="I157:J157"/>
    <mergeCell ref="K157:L157"/>
    <mergeCell ref="E158:F158"/>
    <mergeCell ref="G158:H158"/>
    <mergeCell ref="G148:H148"/>
    <mergeCell ref="I148:J148"/>
    <mergeCell ref="G146:H146"/>
    <mergeCell ref="I146:J146"/>
    <mergeCell ref="E147:F147"/>
    <mergeCell ref="G147:H147"/>
    <mergeCell ref="I147:J147"/>
    <mergeCell ref="K147:L147"/>
    <mergeCell ref="K148:L148"/>
    <mergeCell ref="I150:J150"/>
    <mergeCell ref="K150:L150"/>
    <mergeCell ref="E148:F148"/>
    <mergeCell ref="E149:F149"/>
    <mergeCell ref="G149:H149"/>
    <mergeCell ref="I149:J149"/>
    <mergeCell ref="K149:L149"/>
    <mergeCell ref="E150:F150"/>
    <mergeCell ref="G150:H150"/>
    <mergeCell ref="E151:F151"/>
    <mergeCell ref="G151:H151"/>
    <mergeCell ref="I151:J151"/>
    <mergeCell ref="K151:L151"/>
    <mergeCell ref="G152:H152"/>
    <mergeCell ref="I152:J152"/>
    <mergeCell ref="K152:L152"/>
    <mergeCell ref="I154:J154"/>
    <mergeCell ref="K154:L154"/>
    <mergeCell ref="G165:H165"/>
    <mergeCell ref="I165:J165"/>
    <mergeCell ref="E162:F162"/>
    <mergeCell ref="E163:F163"/>
    <mergeCell ref="E164:F164"/>
    <mergeCell ref="G164:H164"/>
    <mergeCell ref="I164:J164"/>
    <mergeCell ref="K164:L164"/>
    <mergeCell ref="E165:F165"/>
    <mergeCell ref="K165:L165"/>
    <mergeCell ref="E208:F208"/>
    <mergeCell ref="E209:F209"/>
    <mergeCell ref="G209:H209"/>
    <mergeCell ref="I209:J209"/>
    <mergeCell ref="K209:L209"/>
    <mergeCell ref="E210:F210"/>
    <mergeCell ref="G210:H210"/>
    <mergeCell ref="E211:F211"/>
    <mergeCell ref="G211:H211"/>
    <mergeCell ref="I211:J211"/>
    <mergeCell ref="K211:L211"/>
    <mergeCell ref="G212:H212"/>
    <mergeCell ref="I212:J212"/>
    <mergeCell ref="K212:L212"/>
    <mergeCell ref="H225:I225"/>
    <mergeCell ref="H226:I226"/>
    <mergeCell ref="G221:H221"/>
    <mergeCell ref="I221:J221"/>
    <mergeCell ref="H224:I224"/>
    <mergeCell ref="K224:L224"/>
    <mergeCell ref="F225:G226"/>
    <mergeCell ref="J225:J226"/>
    <mergeCell ref="K225:L225"/>
    <mergeCell ref="K226:L226"/>
    <mergeCell ref="G204:H204"/>
    <mergeCell ref="I204:J204"/>
    <mergeCell ref="G202:H202"/>
    <mergeCell ref="I202:J202"/>
    <mergeCell ref="E203:F203"/>
    <mergeCell ref="G203:H203"/>
    <mergeCell ref="I203:J203"/>
    <mergeCell ref="K203:L203"/>
    <mergeCell ref="K204:L204"/>
    <mergeCell ref="I206:J206"/>
    <mergeCell ref="K206:L206"/>
    <mergeCell ref="E204:F204"/>
    <mergeCell ref="E205:F205"/>
    <mergeCell ref="G205:H205"/>
    <mergeCell ref="I205:J205"/>
    <mergeCell ref="K205:L205"/>
    <mergeCell ref="E206:F206"/>
    <mergeCell ref="G206:H206"/>
    <mergeCell ref="E207:F207"/>
    <mergeCell ref="G207:H207"/>
    <mergeCell ref="I207:J207"/>
    <mergeCell ref="K207:L207"/>
    <mergeCell ref="G208:H208"/>
    <mergeCell ref="I208:J208"/>
    <mergeCell ref="K208:L208"/>
    <mergeCell ref="I210:J210"/>
    <mergeCell ref="K210:L210"/>
    <mergeCell ref="E218:F218"/>
    <mergeCell ref="E219:F219"/>
    <mergeCell ref="E220:F220"/>
    <mergeCell ref="G220:H220"/>
    <mergeCell ref="I220:J220"/>
    <mergeCell ref="K220:L220"/>
    <mergeCell ref="E221:F221"/>
    <mergeCell ref="K221:L221"/>
    <mergeCell ref="E159:F159"/>
    <mergeCell ref="G159:H159"/>
    <mergeCell ref="I159:J159"/>
    <mergeCell ref="K159:L159"/>
    <mergeCell ref="G160:H160"/>
    <mergeCell ref="I160:J160"/>
    <mergeCell ref="K160:L160"/>
    <mergeCell ref="E160:F160"/>
    <mergeCell ref="E161:F161"/>
    <mergeCell ref="G161:H161"/>
    <mergeCell ref="I161:J161"/>
    <mergeCell ref="K161:L161"/>
    <mergeCell ref="G162:H162"/>
    <mergeCell ref="K162:L162"/>
    <mergeCell ref="O169:O170"/>
    <mergeCell ref="P169:P170"/>
    <mergeCell ref="Q169:Q170"/>
    <mergeCell ref="K169:L169"/>
    <mergeCell ref="K170:L170"/>
    <mergeCell ref="D169:E169"/>
    <mergeCell ref="F169:G170"/>
    <mergeCell ref="H169:I169"/>
    <mergeCell ref="J169:J170"/>
    <mergeCell ref="M169:N169"/>
    <mergeCell ref="H170:I170"/>
    <mergeCell ref="M170:N170"/>
    <mergeCell ref="C172:P172"/>
    <mergeCell ref="E173:F173"/>
    <mergeCell ref="G173:H173"/>
    <mergeCell ref="I173:J173"/>
    <mergeCell ref="K173:L173"/>
    <mergeCell ref="E174:F174"/>
    <mergeCell ref="K174:L174"/>
    <mergeCell ref="C170:E170"/>
    <mergeCell ref="E180:F180"/>
    <mergeCell ref="E181:F181"/>
    <mergeCell ref="G181:H181"/>
    <mergeCell ref="I181:J181"/>
    <mergeCell ref="K181:L181"/>
    <mergeCell ref="E182:F182"/>
    <mergeCell ref="G182:H182"/>
    <mergeCell ref="E183:F183"/>
    <mergeCell ref="G183:H183"/>
    <mergeCell ref="I183:J183"/>
    <mergeCell ref="K183:L183"/>
    <mergeCell ref="G184:H184"/>
    <mergeCell ref="I184:J184"/>
    <mergeCell ref="K184:L184"/>
    <mergeCell ref="I186:J186"/>
    <mergeCell ref="K186:L186"/>
    <mergeCell ref="E184:F184"/>
    <mergeCell ref="E185:F185"/>
    <mergeCell ref="G185:H185"/>
    <mergeCell ref="I185:J185"/>
    <mergeCell ref="K185:L185"/>
    <mergeCell ref="E186:F186"/>
    <mergeCell ref="G186:H186"/>
    <mergeCell ref="G176:H176"/>
    <mergeCell ref="I176:J176"/>
    <mergeCell ref="G174:H174"/>
    <mergeCell ref="I174:J174"/>
    <mergeCell ref="E175:F175"/>
    <mergeCell ref="G175:H175"/>
    <mergeCell ref="I175:J175"/>
    <mergeCell ref="K175:L175"/>
    <mergeCell ref="K176:L176"/>
    <mergeCell ref="I178:J178"/>
    <mergeCell ref="K178:L178"/>
    <mergeCell ref="E176:F176"/>
    <mergeCell ref="E177:F177"/>
    <mergeCell ref="G177:H177"/>
    <mergeCell ref="I177:J177"/>
    <mergeCell ref="K177:L177"/>
    <mergeCell ref="E178:F178"/>
    <mergeCell ref="G178:H178"/>
    <mergeCell ref="E179:F179"/>
    <mergeCell ref="G179:H179"/>
    <mergeCell ref="I179:J179"/>
    <mergeCell ref="K179:L179"/>
    <mergeCell ref="G180:H180"/>
    <mergeCell ref="I180:J180"/>
    <mergeCell ref="K180:L180"/>
    <mergeCell ref="I182:J182"/>
    <mergeCell ref="K182:L182"/>
    <mergeCell ref="G193:H193"/>
    <mergeCell ref="I193:J193"/>
    <mergeCell ref="E190:F190"/>
    <mergeCell ref="E191:F191"/>
    <mergeCell ref="E192:F192"/>
    <mergeCell ref="G192:H192"/>
    <mergeCell ref="I192:J192"/>
    <mergeCell ref="K192:L192"/>
    <mergeCell ref="E193:F193"/>
    <mergeCell ref="K193:L193"/>
    <mergeCell ref="E187:F187"/>
    <mergeCell ref="G187:H187"/>
    <mergeCell ref="I187:J187"/>
    <mergeCell ref="K187:L187"/>
    <mergeCell ref="G188:H188"/>
    <mergeCell ref="I188:J188"/>
    <mergeCell ref="K188:L188"/>
    <mergeCell ref="E188:F188"/>
    <mergeCell ref="E189:F189"/>
    <mergeCell ref="G189:H189"/>
    <mergeCell ref="I189:J189"/>
    <mergeCell ref="K189:L189"/>
    <mergeCell ref="G190:H190"/>
    <mergeCell ref="K190:L190"/>
    <mergeCell ref="O197:O198"/>
    <mergeCell ref="P197:P198"/>
    <mergeCell ref="Q197:Q198"/>
    <mergeCell ref="K197:L197"/>
    <mergeCell ref="K198:L198"/>
    <mergeCell ref="D197:E197"/>
    <mergeCell ref="F197:G198"/>
    <mergeCell ref="H197:I197"/>
    <mergeCell ref="J197:J198"/>
    <mergeCell ref="M197:N197"/>
    <mergeCell ref="H198:I198"/>
    <mergeCell ref="M198:N198"/>
    <mergeCell ref="C200:P200"/>
    <mergeCell ref="E201:F201"/>
    <mergeCell ref="G201:H201"/>
    <mergeCell ref="I201:J201"/>
    <mergeCell ref="K201:L201"/>
    <mergeCell ref="E202:F202"/>
    <mergeCell ref="K202:L202"/>
    <mergeCell ref="C198:E198"/>
    <mergeCell ref="I214:J214"/>
    <mergeCell ref="K214:L214"/>
    <mergeCell ref="E212:F212"/>
    <mergeCell ref="E213:F213"/>
    <mergeCell ref="G213:H213"/>
    <mergeCell ref="I213:J213"/>
    <mergeCell ref="K213:L213"/>
    <mergeCell ref="E214:F214"/>
    <mergeCell ref="G214:H214"/>
    <mergeCell ref="E215:F215"/>
    <mergeCell ref="G215:H215"/>
    <mergeCell ref="I215:J215"/>
    <mergeCell ref="K215:L215"/>
    <mergeCell ref="G216:H216"/>
    <mergeCell ref="I216:J216"/>
    <mergeCell ref="K216:L216"/>
    <mergeCell ref="E216:F216"/>
    <mergeCell ref="E217:F217"/>
    <mergeCell ref="G217:H217"/>
    <mergeCell ref="I217:J217"/>
    <mergeCell ref="K217:L217"/>
    <mergeCell ref="G218:H218"/>
    <mergeCell ref="K218:L218"/>
    <mergeCell ref="M225:N225"/>
    <mergeCell ref="M226:N226"/>
    <mergeCell ref="C225:E225"/>
    <mergeCell ref="O225:O226"/>
    <mergeCell ref="P225:P226"/>
    <mergeCell ref="Q225:Q226"/>
    <mergeCell ref="C226:E226"/>
    <mergeCell ref="C228:P228"/>
    <mergeCell ref="E229:F229"/>
    <mergeCell ref="G229:H229"/>
    <mergeCell ref="I229:J229"/>
    <mergeCell ref="K229:L229"/>
    <mergeCell ref="E230:F230"/>
    <mergeCell ref="K230:L230"/>
    <mergeCell ref="G232:H232"/>
    <mergeCell ref="I232:J232"/>
    <mergeCell ref="I234:J234"/>
    <mergeCell ref="K234:L234"/>
    <mergeCell ref="G288:H288"/>
    <mergeCell ref="I288:J288"/>
    <mergeCell ref="G286:H286"/>
    <mergeCell ref="I286:J286"/>
    <mergeCell ref="E287:F287"/>
    <mergeCell ref="G287:H287"/>
    <mergeCell ref="I287:J287"/>
    <mergeCell ref="K287:L287"/>
    <mergeCell ref="K288:L288"/>
    <mergeCell ref="I290:J290"/>
    <mergeCell ref="K290:L290"/>
    <mergeCell ref="E288:F288"/>
    <mergeCell ref="E289:F289"/>
    <mergeCell ref="G289:H289"/>
    <mergeCell ref="I289:J289"/>
    <mergeCell ref="K289:L289"/>
    <mergeCell ref="E290:F290"/>
    <mergeCell ref="G290:H290"/>
    <mergeCell ref="E291:F291"/>
    <mergeCell ref="G291:H291"/>
    <mergeCell ref="I291:J291"/>
    <mergeCell ref="K291:L291"/>
    <mergeCell ref="G292:H292"/>
    <mergeCell ref="I292:J292"/>
    <mergeCell ref="K292:L292"/>
    <mergeCell ref="I294:J294"/>
    <mergeCell ref="K294:L294"/>
    <mergeCell ref="G305:H305"/>
    <mergeCell ref="I305:J305"/>
    <mergeCell ref="H308:I308"/>
    <mergeCell ref="K308:L308"/>
    <mergeCell ref="E302:F302"/>
    <mergeCell ref="E303:F303"/>
    <mergeCell ref="E304:F304"/>
    <mergeCell ref="G304:H304"/>
    <mergeCell ref="I304:J304"/>
    <mergeCell ref="K304:L304"/>
    <mergeCell ref="E305:F305"/>
    <mergeCell ref="K305:L305"/>
    <mergeCell ref="E299:F299"/>
    <mergeCell ref="G299:H299"/>
    <mergeCell ref="I299:J299"/>
    <mergeCell ref="K299:L299"/>
    <mergeCell ref="G300:H300"/>
    <mergeCell ref="I300:J300"/>
    <mergeCell ref="K300:L300"/>
    <mergeCell ref="E300:F300"/>
    <mergeCell ref="E301:F301"/>
    <mergeCell ref="G301:H301"/>
    <mergeCell ref="I301:J301"/>
    <mergeCell ref="K301:L301"/>
    <mergeCell ref="G302:H302"/>
    <mergeCell ref="K302:L302"/>
    <mergeCell ref="O309:O310"/>
    <mergeCell ref="P309:P310"/>
    <mergeCell ref="Q309:Q310"/>
    <mergeCell ref="K309:L309"/>
    <mergeCell ref="K310:L310"/>
    <mergeCell ref="C309:E309"/>
    <mergeCell ref="F309:G310"/>
    <mergeCell ref="H309:I309"/>
    <mergeCell ref="J309:J310"/>
    <mergeCell ref="M309:N309"/>
    <mergeCell ref="H310:I310"/>
    <mergeCell ref="M310:N310"/>
    <mergeCell ref="C312:P312"/>
    <mergeCell ref="E313:F313"/>
    <mergeCell ref="G313:H313"/>
    <mergeCell ref="I313:J313"/>
    <mergeCell ref="K313:L313"/>
    <mergeCell ref="E314:F314"/>
    <mergeCell ref="K314:L314"/>
    <mergeCell ref="C310:E310"/>
    <mergeCell ref="E292:F292"/>
    <mergeCell ref="E293:F293"/>
    <mergeCell ref="G293:H293"/>
    <mergeCell ref="I293:J293"/>
    <mergeCell ref="K293:L293"/>
    <mergeCell ref="E294:F294"/>
    <mergeCell ref="G294:H294"/>
    <mergeCell ref="E295:F295"/>
    <mergeCell ref="G295:H295"/>
    <mergeCell ref="I295:J295"/>
    <mergeCell ref="K295:L295"/>
    <mergeCell ref="G296:H296"/>
    <mergeCell ref="I296:J296"/>
    <mergeCell ref="K296:L296"/>
    <mergeCell ref="I298:J298"/>
    <mergeCell ref="K298:L298"/>
    <mergeCell ref="E296:F296"/>
    <mergeCell ref="E297:F297"/>
    <mergeCell ref="G297:H297"/>
    <mergeCell ref="I297:J297"/>
    <mergeCell ref="K297:L297"/>
    <mergeCell ref="E298:F298"/>
    <mergeCell ref="G298:H298"/>
    <mergeCell ref="E320:F320"/>
    <mergeCell ref="E321:F321"/>
    <mergeCell ref="G321:H321"/>
    <mergeCell ref="I321:J321"/>
    <mergeCell ref="K321:L321"/>
    <mergeCell ref="E322:F322"/>
    <mergeCell ref="G322:H322"/>
    <mergeCell ref="E323:F323"/>
    <mergeCell ref="G323:H323"/>
    <mergeCell ref="I323:J323"/>
    <mergeCell ref="K323:L323"/>
    <mergeCell ref="G324:H324"/>
    <mergeCell ref="I324:J324"/>
    <mergeCell ref="K324:L324"/>
    <mergeCell ref="I326:J326"/>
    <mergeCell ref="K326:L326"/>
    <mergeCell ref="E324:F324"/>
    <mergeCell ref="E325:F325"/>
    <mergeCell ref="G325:H325"/>
    <mergeCell ref="I325:J325"/>
    <mergeCell ref="K325:L325"/>
    <mergeCell ref="E326:F326"/>
    <mergeCell ref="G326:H326"/>
    <mergeCell ref="E327:F327"/>
    <mergeCell ref="G327:H327"/>
    <mergeCell ref="I327:J327"/>
    <mergeCell ref="K327:L327"/>
    <mergeCell ref="G328:H328"/>
    <mergeCell ref="I328:J328"/>
    <mergeCell ref="K328:L328"/>
    <mergeCell ref="E328:F328"/>
    <mergeCell ref="E329:F329"/>
    <mergeCell ref="G329:H329"/>
    <mergeCell ref="I329:J329"/>
    <mergeCell ref="K329:L329"/>
    <mergeCell ref="G330:H330"/>
    <mergeCell ref="K330:L330"/>
    <mergeCell ref="G316:H316"/>
    <mergeCell ref="I316:J316"/>
    <mergeCell ref="G314:H314"/>
    <mergeCell ref="I314:J314"/>
    <mergeCell ref="E315:F315"/>
    <mergeCell ref="G315:H315"/>
    <mergeCell ref="I315:J315"/>
    <mergeCell ref="K315:L315"/>
    <mergeCell ref="K316:L316"/>
    <mergeCell ref="I318:J318"/>
    <mergeCell ref="K318:L318"/>
    <mergeCell ref="E316:F316"/>
    <mergeCell ref="E317:F317"/>
    <mergeCell ref="G317:H317"/>
    <mergeCell ref="I317:J317"/>
    <mergeCell ref="K317:L317"/>
    <mergeCell ref="E318:F318"/>
    <mergeCell ref="G318:H318"/>
    <mergeCell ref="E319:F319"/>
    <mergeCell ref="G319:H319"/>
    <mergeCell ref="I319:J319"/>
    <mergeCell ref="K319:L319"/>
    <mergeCell ref="G320:H320"/>
    <mergeCell ref="I320:J320"/>
    <mergeCell ref="K320:L320"/>
    <mergeCell ref="I322:J322"/>
    <mergeCell ref="K322:L322"/>
    <mergeCell ref="G333:H333"/>
    <mergeCell ref="I333:J333"/>
    <mergeCell ref="E330:F330"/>
    <mergeCell ref="E331:F331"/>
    <mergeCell ref="E332:F332"/>
    <mergeCell ref="G332:H332"/>
    <mergeCell ref="I332:J332"/>
    <mergeCell ref="K332:L332"/>
    <mergeCell ref="E333:F333"/>
    <mergeCell ref="K333:L333"/>
  </mergeCells>
  <conditionalFormatting sqref="E36:O49 E64:O77 E92:O105 E120:O133 E147:O160 E175:O188 E203:O216 E231:O244 E259:O272 E287:O300 E315:O328">
    <cfRule type="cellIs" dxfId="0" priority="1" operator="greaterThan">
      <formula>10000</formula>
    </cfRule>
  </conditionalFormatting>
  <conditionalFormatting sqref="E36:O49 E64:O77 E92:O105 E120:O133 E147:O160 E175:O188 E203:O216 E231:O244 E259:O272 E287:O300 E315:O328">
    <cfRule type="notContainsBlanks" dxfId="1" priority="2">
      <formula>LEN(TRIM(E36))&gt;0</formula>
    </cfRule>
  </conditionalFormatting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2.86"/>
    <col customWidth="1" min="3" max="3" width="5.14"/>
    <col customWidth="1" min="4" max="4" width="23.43"/>
    <col customWidth="1" min="5" max="5" width="9.71"/>
    <col customWidth="1" min="6" max="6" width="6.43"/>
    <col customWidth="1" min="7" max="7" width="4.86"/>
    <col customWidth="1" min="9" max="9" width="6.43"/>
    <col customWidth="1" min="11" max="11" width="4.43"/>
    <col customWidth="1" min="12" max="12" width="16.43"/>
    <col customWidth="1" min="13" max="13" width="16.86"/>
    <col customWidth="1" min="14" max="14" width="5.29"/>
    <col customWidth="1" min="15" max="15" width="16.71"/>
    <col customWidth="1" min="16" max="16" width="4.14"/>
  </cols>
  <sheetData>
    <row r="1">
      <c r="A1" s="10"/>
      <c r="B1" s="12"/>
      <c r="C1" s="13"/>
      <c r="D1" s="13"/>
      <c r="E1" s="13"/>
      <c r="F1" s="5"/>
      <c r="G1" s="5"/>
      <c r="H1" s="3" t="str">
        <f t="array" ref="H1">(INDIRECT("I" &amp; ROW() + 1)/INDIRECT("E" &amp; ROW() + 1))</f>
        <v>#DIV/0!</v>
      </c>
      <c r="I1" s="7"/>
      <c r="J1" s="5"/>
      <c r="K1" s="7"/>
      <c r="L1" s="4">
        <f t="array" ref="L1">(1 - INDIRECT("I" &amp; ROW()))</f>
        <v>1</v>
      </c>
      <c r="M1" s="5"/>
      <c r="N1" s="5"/>
      <c r="O1" s="5"/>
      <c r="P1" s="5"/>
      <c r="Q1" s="5"/>
    </row>
    <row r="2">
      <c r="A2" s="21"/>
      <c r="B2" s="22"/>
      <c r="C2" s="13"/>
      <c r="D2" s="24">
        <f>610709+7500</f>
        <v>618209</v>
      </c>
      <c r="F2" s="5"/>
      <c r="H2" s="27">
        <f>O7</f>
        <v>468399</v>
      </c>
      <c r="J2" s="5"/>
      <c r="K2" s="32">
        <f>D2-H2</f>
        <v>149810</v>
      </c>
      <c r="M2" s="34">
        <v>0.0</v>
      </c>
      <c r="O2" s="5"/>
      <c r="P2" s="5"/>
      <c r="Q2" s="5"/>
    </row>
    <row r="3">
      <c r="A3" s="37"/>
      <c r="B3" s="37"/>
      <c r="C3" s="40" t="s">
        <v>1</v>
      </c>
      <c r="D3" s="42"/>
      <c r="E3" s="42"/>
      <c r="F3" s="42"/>
      <c r="G3" s="42"/>
      <c r="H3" s="40" t="s">
        <v>2</v>
      </c>
      <c r="I3" s="42"/>
      <c r="J3" s="18"/>
      <c r="K3" s="40" t="s">
        <v>3</v>
      </c>
      <c r="L3" s="42"/>
      <c r="M3" s="44" t="s">
        <v>14</v>
      </c>
      <c r="N3" s="42"/>
      <c r="O3" s="18"/>
      <c r="P3" s="18"/>
      <c r="Q3" s="18"/>
    </row>
    <row r="4">
      <c r="A4" s="19"/>
      <c r="B4" s="19"/>
      <c r="C4" s="19"/>
      <c r="D4" s="19"/>
      <c r="E4" s="19" t="s">
        <v>4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ht="18.0" customHeight="1">
      <c r="A5" s="45"/>
      <c r="B5" s="45"/>
      <c r="C5" s="47" t="s">
        <v>5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9"/>
    </row>
    <row r="6" ht="18.0" customHeight="1">
      <c r="A6" s="45"/>
      <c r="B6" s="45"/>
      <c r="C6" s="29"/>
      <c r="D6" s="54" t="s">
        <v>6</v>
      </c>
      <c r="E6" s="57" t="s">
        <v>15</v>
      </c>
      <c r="G6" s="57" t="s">
        <v>16</v>
      </c>
      <c r="I6" s="57" t="s">
        <v>17</v>
      </c>
      <c r="K6" s="57" t="s">
        <v>18</v>
      </c>
      <c r="M6" s="57" t="s">
        <v>19</v>
      </c>
      <c r="N6" s="29"/>
      <c r="O6" s="57" t="s">
        <v>12</v>
      </c>
      <c r="P6" s="29"/>
      <c r="Q6" s="35"/>
    </row>
    <row r="7" ht="18.0" customHeight="1">
      <c r="A7" s="45"/>
      <c r="B7" s="45"/>
      <c r="C7" s="55"/>
      <c r="D7" s="64" t="s">
        <v>13</v>
      </c>
      <c r="E7" s="67">
        <f>SUM(E8:F21)</f>
        <v>22623</v>
      </c>
      <c r="F7" s="62"/>
      <c r="G7" s="67">
        <f>SUM(G8:H21)</f>
        <v>275716</v>
      </c>
      <c r="H7" s="62"/>
      <c r="I7" s="67">
        <f>SUM(I8:J21)</f>
        <v>31364</v>
      </c>
      <c r="J7" s="62"/>
      <c r="K7" s="67">
        <f>SUM(K8:L21)</f>
        <v>111054</v>
      </c>
      <c r="L7" s="62"/>
      <c r="M7" s="67">
        <f>SUM(M8:M21)</f>
        <v>27642</v>
      </c>
      <c r="N7" s="72"/>
      <c r="O7" s="67">
        <f t="shared" ref="O7:O26" si="1">SUM(E7:N7)</f>
        <v>468399</v>
      </c>
      <c r="P7" s="72"/>
      <c r="Q7" s="35"/>
    </row>
    <row r="8" ht="18.0" customHeight="1">
      <c r="A8" s="45"/>
      <c r="B8" s="45"/>
      <c r="C8" s="70"/>
      <c r="D8" s="77" t="s">
        <v>20</v>
      </c>
      <c r="E8" s="79">
        <v>0.0</v>
      </c>
      <c r="F8" s="75"/>
      <c r="G8" s="81">
        <v>206000.0</v>
      </c>
      <c r="H8" s="75"/>
      <c r="I8" s="83">
        <v>0.0</v>
      </c>
      <c r="J8" s="75"/>
      <c r="K8" s="81">
        <v>0.0</v>
      </c>
      <c r="L8" s="75"/>
      <c r="M8" s="81">
        <v>0.0</v>
      </c>
      <c r="N8" s="80"/>
      <c r="O8" s="83">
        <f t="shared" si="1"/>
        <v>206000</v>
      </c>
      <c r="P8" s="80"/>
      <c r="Q8" s="35"/>
    </row>
    <row r="9" ht="18.0" customHeight="1">
      <c r="A9" s="45"/>
      <c r="B9" s="45"/>
      <c r="C9" s="70"/>
      <c r="D9" s="77" t="s">
        <v>21</v>
      </c>
      <c r="E9" s="81">
        <f>8672+710+400+4753+590</f>
        <v>15125</v>
      </c>
      <c r="F9" s="75"/>
      <c r="G9" s="79">
        <f>6229+369+6840+2550+4483+7023</f>
        <v>27494</v>
      </c>
      <c r="H9" s="75"/>
      <c r="I9" s="81">
        <f>7501+403+4254+1524+9428+927</f>
        <v>24037</v>
      </c>
      <c r="J9" s="75"/>
      <c r="K9" s="81">
        <f>4911+899+6938+995+1869</f>
        <v>15612</v>
      </c>
      <c r="L9" s="75"/>
      <c r="M9" s="81">
        <f> 7278+2550+7068</f>
        <v>16896</v>
      </c>
      <c r="N9" s="80"/>
      <c r="O9" s="83">
        <f t="shared" si="1"/>
        <v>99164</v>
      </c>
      <c r="P9" s="80"/>
      <c r="Q9" s="35"/>
    </row>
    <row r="10" ht="18.0" customHeight="1">
      <c r="A10" s="45"/>
      <c r="B10" s="45"/>
      <c r="C10" s="70"/>
      <c r="D10" s="87" t="s">
        <v>22</v>
      </c>
      <c r="E10" s="81">
        <f>1088+429+1923</f>
        <v>3440</v>
      </c>
      <c r="F10" s="75"/>
      <c r="G10" s="81">
        <f>300+250+729+8906</f>
        <v>10185</v>
      </c>
      <c r="H10" s="75"/>
      <c r="I10" s="83">
        <f>1599+1578</f>
        <v>3177</v>
      </c>
      <c r="J10" s="75"/>
      <c r="K10" s="81">
        <f>1499+1199+779+15990+600</f>
        <v>20067</v>
      </c>
      <c r="L10" s="75"/>
      <c r="M10" s="83">
        <v>0.0</v>
      </c>
      <c r="N10" s="80"/>
      <c r="O10" s="83">
        <f t="shared" si="1"/>
        <v>36869</v>
      </c>
      <c r="P10" s="80"/>
      <c r="Q10" s="35"/>
    </row>
    <row r="11" ht="18.0" customHeight="1">
      <c r="A11" s="45"/>
      <c r="B11" s="45"/>
      <c r="C11" s="70"/>
      <c r="D11" s="87" t="s">
        <v>23</v>
      </c>
      <c r="E11" s="81">
        <v>0.0</v>
      </c>
      <c r="F11" s="75"/>
      <c r="G11" s="81">
        <f>4048+770</f>
        <v>4818</v>
      </c>
      <c r="H11" s="75"/>
      <c r="I11" s="79">
        <v>0.0</v>
      </c>
      <c r="J11" s="75"/>
      <c r="K11" s="83">
        <v>0.0</v>
      </c>
      <c r="L11" s="75"/>
      <c r="M11" s="81">
        <v>0.0</v>
      </c>
      <c r="N11" s="80"/>
      <c r="O11" s="83">
        <f t="shared" si="1"/>
        <v>4818</v>
      </c>
      <c r="P11" s="80"/>
      <c r="Q11" s="35"/>
    </row>
    <row r="12" ht="18.0" customHeight="1">
      <c r="A12" s="45"/>
      <c r="B12" s="45"/>
      <c r="C12" s="70"/>
      <c r="D12" s="77" t="s">
        <v>24</v>
      </c>
      <c r="E12" s="81">
        <v>3058.0</v>
      </c>
      <c r="F12" s="75"/>
      <c r="G12" s="81">
        <v>280.0</v>
      </c>
      <c r="H12" s="75"/>
      <c r="I12" s="81">
        <f>1500+2650</f>
        <v>4150</v>
      </c>
      <c r="J12" s="75"/>
      <c r="K12" s="81">
        <f>640+1130+1190</f>
        <v>2960</v>
      </c>
      <c r="L12" s="75"/>
      <c r="M12" s="83">
        <f>1330</f>
        <v>1330</v>
      </c>
      <c r="N12" s="80"/>
      <c r="O12" s="83">
        <f t="shared" si="1"/>
        <v>11778</v>
      </c>
      <c r="P12" s="80"/>
      <c r="Q12" s="35"/>
    </row>
    <row r="13" ht="18.0" customHeight="1">
      <c r="A13" s="45"/>
      <c r="B13" s="45"/>
      <c r="C13" s="70"/>
      <c r="D13" s="77" t="s">
        <v>25</v>
      </c>
      <c r="E13" s="81">
        <v>0.0</v>
      </c>
      <c r="F13" s="75"/>
      <c r="G13" s="79">
        <v>0.0</v>
      </c>
      <c r="H13" s="75"/>
      <c r="I13" s="83">
        <v>0.0</v>
      </c>
      <c r="J13" s="75"/>
      <c r="K13" s="81">
        <f>33350+14990</f>
        <v>48340</v>
      </c>
      <c r="L13" s="75"/>
      <c r="M13" s="83">
        <v>0.0</v>
      </c>
      <c r="N13" s="80"/>
      <c r="O13" s="83">
        <f t="shared" si="1"/>
        <v>48340</v>
      </c>
      <c r="P13" s="80"/>
      <c r="Q13" s="35"/>
    </row>
    <row r="14" ht="18.0" customHeight="1">
      <c r="A14" s="45"/>
      <c r="B14" s="45"/>
      <c r="C14" s="70"/>
      <c r="D14" s="77" t="s">
        <v>26</v>
      </c>
      <c r="E14" s="83">
        <v>0.0</v>
      </c>
      <c r="F14" s="75"/>
      <c r="G14" s="81">
        <f>8399+5500</f>
        <v>13899</v>
      </c>
      <c r="H14" s="75"/>
      <c r="I14" s="79">
        <v>0.0</v>
      </c>
      <c r="J14" s="75"/>
      <c r="K14" s="81">
        <v>0.0</v>
      </c>
      <c r="L14" s="75"/>
      <c r="M14" s="81">
        <v>0.0</v>
      </c>
      <c r="N14" s="80"/>
      <c r="O14" s="83">
        <f t="shared" si="1"/>
        <v>13899</v>
      </c>
      <c r="P14" s="80"/>
      <c r="Q14" s="35"/>
    </row>
    <row r="15" ht="18.0" customHeight="1">
      <c r="A15" s="45"/>
      <c r="B15" s="45"/>
      <c r="C15" s="70"/>
      <c r="D15" s="77" t="s">
        <v>27</v>
      </c>
      <c r="E15" s="83">
        <v>0.0</v>
      </c>
      <c r="F15" s="75"/>
      <c r="G15" s="83">
        <v>0.0</v>
      </c>
      <c r="H15" s="75"/>
      <c r="I15" s="83">
        <v>0.0</v>
      </c>
      <c r="J15" s="75"/>
      <c r="K15" s="83">
        <v>0.0</v>
      </c>
      <c r="L15" s="75"/>
      <c r="M15" s="83">
        <v>0.0</v>
      </c>
      <c r="N15" s="80"/>
      <c r="O15" s="83">
        <f t="shared" si="1"/>
        <v>0</v>
      </c>
      <c r="P15" s="80"/>
      <c r="Q15" s="35"/>
    </row>
    <row r="16" ht="18.0" customHeight="1">
      <c r="A16" s="45"/>
      <c r="B16" s="45"/>
      <c r="C16" s="70"/>
      <c r="D16" s="77" t="s">
        <v>28</v>
      </c>
      <c r="E16" s="83">
        <v>0.0</v>
      </c>
      <c r="F16" s="75"/>
      <c r="G16" s="83">
        <v>0.0</v>
      </c>
      <c r="H16" s="75"/>
      <c r="I16" s="83">
        <v>0.0</v>
      </c>
      <c r="J16" s="75"/>
      <c r="K16" s="83">
        <v>0.0</v>
      </c>
      <c r="L16" s="75"/>
      <c r="M16" s="79">
        <v>0.0</v>
      </c>
      <c r="N16" s="80"/>
      <c r="O16" s="83">
        <f t="shared" si="1"/>
        <v>0</v>
      </c>
      <c r="P16" s="80"/>
      <c r="Q16" s="35"/>
    </row>
    <row r="17" ht="18.0" customHeight="1">
      <c r="A17" s="45"/>
      <c r="B17" s="45"/>
      <c r="C17" s="70"/>
      <c r="D17" s="77" t="s">
        <v>29</v>
      </c>
      <c r="E17" s="79">
        <v>1000.0</v>
      </c>
      <c r="F17" s="75"/>
      <c r="G17" s="81">
        <f>450+9500</f>
        <v>9950</v>
      </c>
      <c r="H17" s="75"/>
      <c r="I17" s="83">
        <v>0.0</v>
      </c>
      <c r="J17" s="75"/>
      <c r="K17" s="83">
        <v>0.0</v>
      </c>
      <c r="L17" s="75"/>
      <c r="M17" s="83">
        <v>0.0</v>
      </c>
      <c r="N17" s="80"/>
      <c r="O17" s="83">
        <f t="shared" si="1"/>
        <v>10950</v>
      </c>
      <c r="P17" s="80"/>
      <c r="Q17" s="35"/>
    </row>
    <row r="18" ht="18.0" customHeight="1">
      <c r="A18" s="45"/>
      <c r="B18" s="45"/>
      <c r="C18" s="70"/>
      <c r="D18" s="77" t="s">
        <v>30</v>
      </c>
      <c r="E18" s="83">
        <v>0.0</v>
      </c>
      <c r="F18" s="75"/>
      <c r="G18" s="81">
        <v>3090.0</v>
      </c>
      <c r="H18" s="75"/>
      <c r="I18" s="81">
        <v>0.0</v>
      </c>
      <c r="J18" s="75"/>
      <c r="K18" s="81">
        <v>1830.0</v>
      </c>
      <c r="L18" s="75"/>
      <c r="M18" s="83">
        <v>0.0</v>
      </c>
      <c r="N18" s="80"/>
      <c r="O18" s="83">
        <f t="shared" si="1"/>
        <v>4920</v>
      </c>
      <c r="P18" s="80"/>
      <c r="Q18" s="35"/>
    </row>
    <row r="19" ht="18.0" customHeight="1">
      <c r="A19" s="45"/>
      <c r="B19" s="45"/>
      <c r="C19" s="70"/>
      <c r="D19" s="89" t="s">
        <v>31</v>
      </c>
      <c r="E19" s="81">
        <v>0.0</v>
      </c>
      <c r="F19" s="75"/>
      <c r="G19" s="83">
        <v>0.0</v>
      </c>
      <c r="H19" s="75"/>
      <c r="I19" s="83">
        <v>0.0</v>
      </c>
      <c r="J19" s="75"/>
      <c r="K19" s="83">
        <f>18115+1130</f>
        <v>19245</v>
      </c>
      <c r="L19" s="75"/>
      <c r="M19" s="83">
        <f>9416</f>
        <v>9416</v>
      </c>
      <c r="N19" s="80"/>
      <c r="O19" s="83">
        <f t="shared" si="1"/>
        <v>28661</v>
      </c>
      <c r="P19" s="80"/>
      <c r="Q19" s="35"/>
    </row>
    <row r="20" ht="18.0" customHeight="1">
      <c r="A20" s="45"/>
      <c r="B20" s="45"/>
      <c r="C20" s="70"/>
      <c r="D20" s="77" t="s">
        <v>32</v>
      </c>
      <c r="E20" s="83">
        <v>0.0</v>
      </c>
      <c r="F20" s="75"/>
      <c r="G20" s="81">
        <v>0.0</v>
      </c>
      <c r="H20" s="75"/>
      <c r="I20" s="83">
        <v>0.0</v>
      </c>
      <c r="J20" s="75"/>
      <c r="K20" s="81">
        <f>(2000+1000)</f>
        <v>3000</v>
      </c>
      <c r="L20" s="75"/>
      <c r="M20" s="83">
        <v>0.0</v>
      </c>
      <c r="N20" s="80"/>
      <c r="O20" s="83">
        <f t="shared" si="1"/>
        <v>3000</v>
      </c>
      <c r="P20" s="80"/>
      <c r="Q20" s="35"/>
    </row>
    <row r="21" ht="18.0" customHeight="1">
      <c r="A21" s="45"/>
      <c r="B21" s="45"/>
      <c r="C21" s="70"/>
      <c r="D21" s="77" t="s">
        <v>33</v>
      </c>
      <c r="E21" s="83">
        <v>0.0</v>
      </c>
      <c r="F21" s="75"/>
      <c r="G21" s="79">
        <v>0.0</v>
      </c>
      <c r="H21" s="75"/>
      <c r="I21" s="83">
        <v>0.0</v>
      </c>
      <c r="J21" s="75"/>
      <c r="K21" s="83">
        <v>0.0</v>
      </c>
      <c r="L21" s="75"/>
      <c r="M21" s="83">
        <v>0.0</v>
      </c>
      <c r="N21" s="80"/>
      <c r="O21" s="83">
        <f t="shared" si="1"/>
        <v>0</v>
      </c>
      <c r="P21" s="80"/>
      <c r="Q21" s="35"/>
    </row>
    <row r="22" ht="18.0" customHeight="1">
      <c r="A22" s="45"/>
      <c r="B22" s="45"/>
      <c r="C22" s="93"/>
      <c r="D22" s="94" t="s">
        <v>34</v>
      </c>
      <c r="E22" s="95">
        <f>SUM(E23:F26)</f>
        <v>0</v>
      </c>
      <c r="F22" s="75"/>
      <c r="G22" s="95">
        <f>SUM(H23:H26)</f>
        <v>0</v>
      </c>
      <c r="H22" s="75"/>
      <c r="I22" s="95">
        <f>SUM(I23:I26)</f>
        <v>0</v>
      </c>
      <c r="J22" s="75"/>
      <c r="K22" s="95">
        <f>SUM(K23:K26)</f>
        <v>7500</v>
      </c>
      <c r="L22" s="75"/>
      <c r="M22" s="95">
        <f>SUM(M23:M26)</f>
        <v>0</v>
      </c>
      <c r="N22" s="93"/>
      <c r="O22" s="95">
        <f t="shared" si="1"/>
        <v>7500</v>
      </c>
      <c r="P22" s="93"/>
      <c r="Q22" s="35"/>
    </row>
    <row r="23" ht="18.0" customHeight="1">
      <c r="A23" s="45"/>
      <c r="B23" s="45"/>
      <c r="C23" s="98"/>
      <c r="D23" s="77" t="s">
        <v>35</v>
      </c>
      <c r="E23" s="100">
        <v>0.0</v>
      </c>
      <c r="F23" s="75"/>
      <c r="G23" s="83">
        <v>0.0</v>
      </c>
      <c r="H23" s="75"/>
      <c r="I23" s="83">
        <v>0.0</v>
      </c>
      <c r="J23" s="75"/>
      <c r="K23" s="83">
        <v>0.0</v>
      </c>
      <c r="L23" s="75"/>
      <c r="M23" s="83">
        <v>0.0</v>
      </c>
      <c r="N23" s="80"/>
      <c r="O23" s="83">
        <f t="shared" si="1"/>
        <v>0</v>
      </c>
      <c r="P23" s="80"/>
      <c r="Q23" s="35"/>
    </row>
    <row r="24" ht="18.0" customHeight="1">
      <c r="A24" s="45"/>
      <c r="B24" s="45"/>
      <c r="C24" s="98"/>
      <c r="D24" s="77" t="s">
        <v>36</v>
      </c>
      <c r="E24" s="83">
        <v>0.0</v>
      </c>
      <c r="F24" s="75"/>
      <c r="G24" s="102"/>
      <c r="H24" s="83">
        <v>0.0</v>
      </c>
      <c r="I24" s="102"/>
      <c r="J24" s="83">
        <v>0.0</v>
      </c>
      <c r="K24" s="102"/>
      <c r="L24" s="83">
        <v>0.0</v>
      </c>
      <c r="M24" s="83">
        <v>0.0</v>
      </c>
      <c r="N24" s="80"/>
      <c r="O24" s="83">
        <f t="shared" si="1"/>
        <v>0</v>
      </c>
      <c r="P24" s="80"/>
      <c r="Q24" s="35"/>
    </row>
    <row r="25" ht="18.0" customHeight="1">
      <c r="A25" s="45"/>
      <c r="B25" s="45"/>
      <c r="C25" s="98"/>
      <c r="D25" s="77" t="s">
        <v>37</v>
      </c>
      <c r="E25" s="83">
        <v>0.0</v>
      </c>
      <c r="F25" s="75"/>
      <c r="G25" s="83">
        <v>0.0</v>
      </c>
      <c r="H25" s="75"/>
      <c r="I25" s="83">
        <v>0.0</v>
      </c>
      <c r="J25" s="75"/>
      <c r="K25" s="83">
        <v>0.0</v>
      </c>
      <c r="L25" s="75"/>
      <c r="M25" s="83">
        <v>0.0</v>
      </c>
      <c r="N25" s="80"/>
      <c r="O25" s="83">
        <f t="shared" si="1"/>
        <v>0</v>
      </c>
      <c r="P25" s="80"/>
      <c r="Q25" s="35"/>
    </row>
    <row r="26" ht="18.0" customHeight="1">
      <c r="A26" s="45"/>
      <c r="B26" s="45"/>
      <c r="C26" s="109"/>
      <c r="D26" s="110" t="s">
        <v>33</v>
      </c>
      <c r="E26" s="111">
        <v>0.0</v>
      </c>
      <c r="F26" s="112"/>
      <c r="G26" s="111">
        <v>0.0</v>
      </c>
      <c r="H26" s="112"/>
      <c r="I26" s="111">
        <v>0.0</v>
      </c>
      <c r="J26" s="112"/>
      <c r="K26" s="113">
        <v>7500.0</v>
      </c>
      <c r="L26" s="112"/>
      <c r="M26" s="111">
        <v>0.0</v>
      </c>
      <c r="N26" s="114"/>
      <c r="O26" s="111">
        <f t="shared" si="1"/>
        <v>7500</v>
      </c>
      <c r="P26" s="114"/>
      <c r="Q26" s="35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</row>
    <row r="28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6"/>
      <c r="O28" s="116"/>
      <c r="P28" s="116"/>
      <c r="Q28" s="19"/>
    </row>
    <row r="29">
      <c r="A29" s="10"/>
      <c r="B29" s="12"/>
      <c r="C29" s="13"/>
      <c r="D29" s="13"/>
      <c r="E29" s="13"/>
      <c r="F29" s="5"/>
      <c r="G29" s="5"/>
      <c r="H29" s="3" t="str">
        <f t="array" ref="H29">(INDIRECT("I" &amp; ROW() + 1)/INDIRECT("E" &amp; ROW() + 1))</f>
        <v>#DIV/0!</v>
      </c>
      <c r="I29" s="7"/>
      <c r="J29" s="5"/>
      <c r="K29" s="7"/>
      <c r="L29" s="4">
        <f t="array" ref="L29">(1 - INDIRECT("I" &amp; ROW()))</f>
        <v>1</v>
      </c>
      <c r="M29" s="5"/>
      <c r="N29" s="5"/>
      <c r="O29" s="5"/>
      <c r="P29" s="5"/>
      <c r="Q29" s="5"/>
    </row>
    <row r="30">
      <c r="A30" s="21"/>
      <c r="B30" s="22"/>
      <c r="C30" s="13"/>
      <c r="D30" s="24">
        <f>O50</f>
        <v>673953</v>
      </c>
      <c r="F30" s="5"/>
      <c r="H30" s="27">
        <f>O35</f>
        <v>590201</v>
      </c>
      <c r="J30" s="5"/>
      <c r="K30" s="32">
        <f>D30-H30</f>
        <v>83752</v>
      </c>
      <c r="M30" s="123">
        <v>0.0</v>
      </c>
      <c r="O30" s="5"/>
      <c r="P30" s="5"/>
      <c r="Q30" s="5"/>
    </row>
    <row r="31">
      <c r="A31" s="37"/>
      <c r="B31" s="37"/>
      <c r="C31" s="40" t="s">
        <v>1</v>
      </c>
      <c r="D31" s="42"/>
      <c r="E31" s="42"/>
      <c r="F31" s="42"/>
      <c r="G31" s="42"/>
      <c r="H31" s="40" t="s">
        <v>2</v>
      </c>
      <c r="I31" s="42"/>
      <c r="J31" s="18"/>
      <c r="K31" s="40" t="s">
        <v>3</v>
      </c>
      <c r="L31" s="42"/>
      <c r="M31" s="44" t="s">
        <v>14</v>
      </c>
      <c r="N31" s="42"/>
      <c r="O31" s="18"/>
      <c r="P31" s="18"/>
      <c r="Q31" s="18"/>
    </row>
    <row r="32" ht="18.0" customHeight="1">
      <c r="A32" s="19"/>
      <c r="B32" s="19"/>
      <c r="C32" s="19"/>
      <c r="D32" s="19"/>
      <c r="E32" s="19" t="s">
        <v>4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</row>
    <row r="33" ht="18.0" customHeight="1">
      <c r="A33" s="45"/>
      <c r="B33" s="45"/>
      <c r="C33" s="128" t="s">
        <v>38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9"/>
    </row>
    <row r="34" ht="18.0" customHeight="1">
      <c r="A34" s="45"/>
      <c r="B34" s="45"/>
      <c r="C34" s="29"/>
      <c r="D34" s="54" t="s">
        <v>6</v>
      </c>
      <c r="E34" s="57" t="s">
        <v>15</v>
      </c>
      <c r="G34" s="57" t="s">
        <v>16</v>
      </c>
      <c r="I34" s="57" t="s">
        <v>17</v>
      </c>
      <c r="K34" s="57" t="s">
        <v>18</v>
      </c>
      <c r="M34" s="57" t="s">
        <v>19</v>
      </c>
      <c r="N34" s="29"/>
      <c r="O34" s="57" t="s">
        <v>12</v>
      </c>
      <c r="P34" s="29"/>
      <c r="Q34" s="35"/>
    </row>
    <row r="35" ht="18.0" customHeight="1">
      <c r="A35" s="45"/>
      <c r="B35" s="45"/>
      <c r="C35" s="55"/>
      <c r="D35" s="64" t="s">
        <v>13</v>
      </c>
      <c r="E35" s="67">
        <f>SUM(E36:F49)</f>
        <v>21822</v>
      </c>
      <c r="F35" s="62"/>
      <c r="G35" s="67">
        <f>SUM(G36:H49)</f>
        <v>269992</v>
      </c>
      <c r="H35" s="62"/>
      <c r="I35" s="67">
        <f>SUM(I36:J49)</f>
        <v>247892</v>
      </c>
      <c r="J35" s="62"/>
      <c r="K35" s="67">
        <f>SUM(K36:L49)</f>
        <v>39860</v>
      </c>
      <c r="L35" s="62"/>
      <c r="M35" s="67">
        <f>SUM(M36:M49)</f>
        <v>10635</v>
      </c>
      <c r="N35" s="72"/>
      <c r="O35" s="67">
        <f t="shared" ref="O35:O54" si="2">SUM(E35:N35)</f>
        <v>590201</v>
      </c>
      <c r="P35" s="72"/>
      <c r="Q35" s="35"/>
    </row>
    <row r="36" ht="18.0" customHeight="1">
      <c r="A36" s="45"/>
      <c r="B36" s="45"/>
      <c r="C36" s="70"/>
      <c r="D36" s="77" t="s">
        <v>20</v>
      </c>
      <c r="E36" s="79">
        <v>0.0</v>
      </c>
      <c r="F36" s="75"/>
      <c r="G36" s="81">
        <v>203312.0</v>
      </c>
      <c r="H36" s="75"/>
      <c r="I36" s="83">
        <v>0.0</v>
      </c>
      <c r="J36" s="75"/>
      <c r="K36" s="81">
        <v>0.0</v>
      </c>
      <c r="L36" s="75"/>
      <c r="M36" s="81">
        <v>0.0</v>
      </c>
      <c r="N36" s="80"/>
      <c r="O36" s="83">
        <f t="shared" si="2"/>
        <v>203312</v>
      </c>
      <c r="P36" s="80"/>
      <c r="Q36" s="35"/>
    </row>
    <row r="37" ht="18.0" customHeight="1">
      <c r="A37" s="45"/>
      <c r="B37" s="45"/>
      <c r="C37" s="70"/>
      <c r="D37" s="77" t="s">
        <v>21</v>
      </c>
      <c r="E37" s="81">
        <f>2736+1392+3258+4353</f>
        <v>11739</v>
      </c>
      <c r="F37" s="75"/>
      <c r="G37" s="79">
        <f>1887+2367+4468-195+5523+2805</f>
        <v>16855</v>
      </c>
      <c r="H37" s="75"/>
      <c r="I37" s="81">
        <f>398+2851+9686</f>
        <v>12935</v>
      </c>
      <c r="J37" s="75"/>
      <c r="K37" s="81">
        <f>3959+734+449+1757+8856+578</f>
        <v>16333</v>
      </c>
      <c r="L37" s="75"/>
      <c r="M37" s="81">
        <v>999.0</v>
      </c>
      <c r="N37" s="80"/>
      <c r="O37" s="83">
        <f t="shared" si="2"/>
        <v>58861</v>
      </c>
      <c r="P37" s="80"/>
      <c r="Q37" s="35"/>
    </row>
    <row r="38" ht="18.0" customHeight="1">
      <c r="A38" s="45"/>
      <c r="B38" s="45"/>
      <c r="C38" s="70"/>
      <c r="D38" s="87" t="s">
        <v>22</v>
      </c>
      <c r="E38" s="81">
        <v>0.0</v>
      </c>
      <c r="F38" s="75"/>
      <c r="G38" s="81">
        <f>3046</f>
        <v>3046</v>
      </c>
      <c r="H38" s="75"/>
      <c r="I38" s="81">
        <v>0.0</v>
      </c>
      <c r="J38" s="75"/>
      <c r="K38" s="81">
        <v>0.0</v>
      </c>
      <c r="L38" s="75"/>
      <c r="M38" s="81">
        <v>998.0</v>
      </c>
      <c r="N38" s="80"/>
      <c r="O38" s="83">
        <f t="shared" si="2"/>
        <v>4044</v>
      </c>
      <c r="P38" s="80"/>
      <c r="Q38" s="35"/>
    </row>
    <row r="39" ht="18.0" customHeight="1">
      <c r="A39" s="45"/>
      <c r="B39" s="45"/>
      <c r="C39" s="70"/>
      <c r="D39" s="87" t="s">
        <v>23</v>
      </c>
      <c r="E39" s="81">
        <v>0.0</v>
      </c>
      <c r="F39" s="75"/>
      <c r="G39" s="81">
        <f>3080+2350</f>
        <v>5430</v>
      </c>
      <c r="H39" s="75"/>
      <c r="I39" s="79">
        <v>804.0</v>
      </c>
      <c r="J39" s="75"/>
      <c r="K39" s="81">
        <v>4928.0</v>
      </c>
      <c r="L39" s="75"/>
      <c r="M39" s="81">
        <v>0.0</v>
      </c>
      <c r="N39" s="80"/>
      <c r="O39" s="83">
        <f t="shared" si="2"/>
        <v>11162</v>
      </c>
      <c r="P39" s="80"/>
      <c r="Q39" s="35"/>
    </row>
    <row r="40" ht="18.0" customHeight="1">
      <c r="A40" s="45"/>
      <c r="B40" s="45"/>
      <c r="C40" s="70"/>
      <c r="D40" s="77" t="s">
        <v>24</v>
      </c>
      <c r="E40" s="81">
        <v>0.0</v>
      </c>
      <c r="F40" s="75"/>
      <c r="G40" s="81">
        <f>550+890+(2280-950)</f>
        <v>2770</v>
      </c>
      <c r="H40" s="75"/>
      <c r="I40" s="81">
        <f>1850+250</f>
        <v>2100</v>
      </c>
      <c r="J40" s="75"/>
      <c r="K40" s="81">
        <f>2020+1150</f>
        <v>3170</v>
      </c>
      <c r="L40" s="75"/>
      <c r="M40" s="81">
        <f>1144</f>
        <v>1144</v>
      </c>
      <c r="N40" s="80"/>
      <c r="O40" s="83">
        <f t="shared" si="2"/>
        <v>9184</v>
      </c>
      <c r="P40" s="80"/>
      <c r="Q40" s="35"/>
    </row>
    <row r="41" ht="18.0" customHeight="1">
      <c r="A41" s="45"/>
      <c r="B41" s="45"/>
      <c r="C41" s="70"/>
      <c r="D41" s="77" t="s">
        <v>25</v>
      </c>
      <c r="E41" s="81">
        <v>0.0</v>
      </c>
      <c r="F41" s="75"/>
      <c r="G41" s="79">
        <v>0.0</v>
      </c>
      <c r="H41" s="75"/>
      <c r="I41" s="81">
        <f>210000+14673</f>
        <v>224673</v>
      </c>
      <c r="J41" s="75"/>
      <c r="K41" s="81">
        <v>13690.0</v>
      </c>
      <c r="L41" s="75"/>
      <c r="M41" s="83">
        <v>0.0</v>
      </c>
      <c r="N41" s="80"/>
      <c r="O41" s="83">
        <f t="shared" si="2"/>
        <v>238363</v>
      </c>
      <c r="P41" s="80"/>
      <c r="Q41" s="35"/>
    </row>
    <row r="42" ht="18.0" customHeight="1">
      <c r="A42" s="45"/>
      <c r="B42" s="45"/>
      <c r="C42" s="70"/>
      <c r="D42" s="77" t="s">
        <v>26</v>
      </c>
      <c r="E42" s="81">
        <v>4488.0</v>
      </c>
      <c r="F42" s="75"/>
      <c r="G42" s="81">
        <v>5000.0</v>
      </c>
      <c r="H42" s="75"/>
      <c r="I42" s="79">
        <v>0.0</v>
      </c>
      <c r="J42" s="75"/>
      <c r="K42" s="81">
        <v>0.0</v>
      </c>
      <c r="L42" s="75"/>
      <c r="M42" s="81">
        <v>0.0</v>
      </c>
      <c r="N42" s="80"/>
      <c r="O42" s="83">
        <f t="shared" si="2"/>
        <v>9488</v>
      </c>
      <c r="P42" s="80"/>
      <c r="Q42" s="35"/>
    </row>
    <row r="43" ht="18.0" customHeight="1">
      <c r="A43" s="45"/>
      <c r="B43" s="45"/>
      <c r="C43" s="70"/>
      <c r="D43" s="77" t="s">
        <v>27</v>
      </c>
      <c r="E43" s="83">
        <v>0.0</v>
      </c>
      <c r="F43" s="75"/>
      <c r="G43" s="83">
        <v>0.0</v>
      </c>
      <c r="H43" s="75"/>
      <c r="I43" s="83">
        <v>0.0</v>
      </c>
      <c r="J43" s="75"/>
      <c r="K43" s="83">
        <v>0.0</v>
      </c>
      <c r="L43" s="75"/>
      <c r="M43" s="81">
        <v>1490.0</v>
      </c>
      <c r="N43" s="80"/>
      <c r="O43" s="83">
        <f t="shared" si="2"/>
        <v>1490</v>
      </c>
      <c r="P43" s="80"/>
      <c r="Q43" s="35"/>
    </row>
    <row r="44" ht="18.0" customHeight="1">
      <c r="A44" s="45"/>
      <c r="B44" s="45"/>
      <c r="C44" s="70"/>
      <c r="D44" s="77" t="s">
        <v>28</v>
      </c>
      <c r="E44" s="83">
        <v>0.0</v>
      </c>
      <c r="F44" s="75"/>
      <c r="G44" s="83">
        <v>0.0</v>
      </c>
      <c r="H44" s="75"/>
      <c r="I44" s="83">
        <v>0.0</v>
      </c>
      <c r="J44" s="75"/>
      <c r="K44" s="83">
        <v>0.0</v>
      </c>
      <c r="L44" s="75"/>
      <c r="M44" s="79">
        <v>0.0</v>
      </c>
      <c r="N44" s="80"/>
      <c r="O44" s="83">
        <f t="shared" si="2"/>
        <v>0</v>
      </c>
      <c r="P44" s="80"/>
      <c r="Q44" s="35"/>
    </row>
    <row r="45" ht="18.0" customHeight="1">
      <c r="A45" s="45"/>
      <c r="B45" s="45"/>
      <c r="C45" s="70"/>
      <c r="D45" s="77" t="s">
        <v>29</v>
      </c>
      <c r="E45" s="79">
        <v>1000.0</v>
      </c>
      <c r="F45" s="75"/>
      <c r="G45" s="81">
        <f>450+9500</f>
        <v>9950</v>
      </c>
      <c r="H45" s="75"/>
      <c r="I45" s="83">
        <v>0.0</v>
      </c>
      <c r="J45" s="75"/>
      <c r="K45" s="83">
        <v>0.0</v>
      </c>
      <c r="L45" s="75"/>
      <c r="M45" s="83">
        <v>0.0</v>
      </c>
      <c r="N45" s="80"/>
      <c r="O45" s="83">
        <f t="shared" si="2"/>
        <v>10950</v>
      </c>
      <c r="P45" s="80"/>
      <c r="Q45" s="35"/>
    </row>
    <row r="46" ht="18.0" customHeight="1">
      <c r="A46" s="45"/>
      <c r="B46" s="45"/>
      <c r="C46" s="70"/>
      <c r="D46" s="77" t="s">
        <v>30</v>
      </c>
      <c r="E46" s="81">
        <v>2245.0</v>
      </c>
      <c r="F46" s="75"/>
      <c r="G46" s="81">
        <v>3090.0</v>
      </c>
      <c r="H46" s="75"/>
      <c r="I46" s="81">
        <v>2990.0</v>
      </c>
      <c r="J46" s="75"/>
      <c r="K46" s="81">
        <v>1599.0</v>
      </c>
      <c r="L46" s="75"/>
      <c r="M46" s="83">
        <f>4790</f>
        <v>4790</v>
      </c>
      <c r="N46" s="80"/>
      <c r="O46" s="83">
        <f t="shared" si="2"/>
        <v>14714</v>
      </c>
      <c r="P46" s="80"/>
      <c r="Q46" s="35"/>
    </row>
    <row r="47" ht="18.0" customHeight="1">
      <c r="A47" s="45"/>
      <c r="B47" s="45"/>
      <c r="C47" s="70"/>
      <c r="D47" s="89" t="s">
        <v>31</v>
      </c>
      <c r="E47" s="81">
        <v>2350.0</v>
      </c>
      <c r="F47" s="75"/>
      <c r="G47" s="81">
        <f>2350+950+15400</f>
        <v>18700</v>
      </c>
      <c r="H47" s="75"/>
      <c r="I47" s="83">
        <f>2090+2300</f>
        <v>4390</v>
      </c>
      <c r="J47" s="75"/>
      <c r="K47" s="81">
        <v>0.0</v>
      </c>
      <c r="L47" s="75"/>
      <c r="M47" s="81">
        <f>1144</f>
        <v>1144</v>
      </c>
      <c r="N47" s="80"/>
      <c r="O47" s="83">
        <f t="shared" si="2"/>
        <v>26584</v>
      </c>
      <c r="P47" s="80"/>
      <c r="Q47" s="35"/>
    </row>
    <row r="48" ht="18.0" customHeight="1">
      <c r="A48" s="45"/>
      <c r="B48" s="45"/>
      <c r="C48" s="70"/>
      <c r="D48" s="77" t="s">
        <v>32</v>
      </c>
      <c r="E48" s="83">
        <v>0.0</v>
      </c>
      <c r="F48" s="75"/>
      <c r="G48" s="81">
        <v>0.0</v>
      </c>
      <c r="H48" s="75"/>
      <c r="I48" s="83">
        <v>0.0</v>
      </c>
      <c r="J48" s="75"/>
      <c r="K48" s="81">
        <v>0.0</v>
      </c>
      <c r="L48" s="75"/>
      <c r="M48" s="83">
        <v>0.0</v>
      </c>
      <c r="N48" s="80"/>
      <c r="O48" s="83">
        <f t="shared" si="2"/>
        <v>0</v>
      </c>
      <c r="P48" s="80"/>
      <c r="Q48" s="35"/>
    </row>
    <row r="49" ht="18.0" customHeight="1">
      <c r="A49" s="45"/>
      <c r="B49" s="45"/>
      <c r="C49" s="70"/>
      <c r="D49" s="77" t="s">
        <v>33</v>
      </c>
      <c r="E49" s="83">
        <v>0.0</v>
      </c>
      <c r="F49" s="75"/>
      <c r="G49" s="79">
        <v>1839.0</v>
      </c>
      <c r="H49" s="75"/>
      <c r="I49" s="83">
        <v>0.0</v>
      </c>
      <c r="J49" s="75"/>
      <c r="K49" s="81">
        <v>140.0</v>
      </c>
      <c r="L49" s="75"/>
      <c r="M49" s="81">
        <v>70.0</v>
      </c>
      <c r="N49" s="80"/>
      <c r="O49" s="83">
        <f t="shared" si="2"/>
        <v>2049</v>
      </c>
      <c r="P49" s="80"/>
      <c r="Q49" s="35"/>
    </row>
    <row r="50" ht="18.0" customHeight="1">
      <c r="A50" s="45"/>
      <c r="B50" s="45"/>
      <c r="C50" s="93"/>
      <c r="D50" s="94" t="s">
        <v>34</v>
      </c>
      <c r="E50" s="95">
        <f>SUM(E51:F54)</f>
        <v>634763</v>
      </c>
      <c r="F50" s="75"/>
      <c r="G50" s="95">
        <f>SUM(G51:G54)</f>
        <v>15000</v>
      </c>
      <c r="H50" s="75"/>
      <c r="I50" s="95">
        <f>SUM(I51:I54)</f>
        <v>10500</v>
      </c>
      <c r="J50" s="75"/>
      <c r="K50" s="95">
        <f>SUM(K51:K54)</f>
        <v>13690</v>
      </c>
      <c r="L50" s="75"/>
      <c r="M50" s="95">
        <f>SUM(M51:M54)</f>
        <v>0</v>
      </c>
      <c r="N50" s="93"/>
      <c r="O50" s="95">
        <f t="shared" si="2"/>
        <v>673953</v>
      </c>
      <c r="P50" s="93"/>
      <c r="Q50" s="35"/>
    </row>
    <row r="51" ht="18.0" customHeight="1">
      <c r="A51" s="45"/>
      <c r="B51" s="45"/>
      <c r="C51" s="98"/>
      <c r="D51" s="77" t="s">
        <v>35</v>
      </c>
      <c r="E51" s="100">
        <v>610350.0</v>
      </c>
      <c r="F51" s="75"/>
      <c r="G51" s="83">
        <v>0.0</v>
      </c>
      <c r="H51" s="75"/>
      <c r="I51" s="83">
        <v>0.0</v>
      </c>
      <c r="J51" s="75"/>
      <c r="K51" s="83">
        <v>0.0</v>
      </c>
      <c r="L51" s="75"/>
      <c r="M51" s="83">
        <v>0.0</v>
      </c>
      <c r="N51" s="80"/>
      <c r="O51" s="83">
        <f t="shared" si="2"/>
        <v>610350</v>
      </c>
      <c r="P51" s="80"/>
      <c r="Q51" s="35"/>
    </row>
    <row r="52" ht="18.0" customHeight="1">
      <c r="A52" s="45"/>
      <c r="B52" s="45"/>
      <c r="C52" s="98"/>
      <c r="D52" s="77" t="s">
        <v>36</v>
      </c>
      <c r="E52" s="81">
        <v>24413.0</v>
      </c>
      <c r="F52" s="75"/>
      <c r="G52" s="102"/>
      <c r="H52" s="83">
        <v>0.0</v>
      </c>
      <c r="I52" s="102"/>
      <c r="J52" s="83">
        <v>0.0</v>
      </c>
      <c r="K52" s="102"/>
      <c r="L52" s="83">
        <v>0.0</v>
      </c>
      <c r="M52" s="83">
        <v>0.0</v>
      </c>
      <c r="N52" s="80"/>
      <c r="O52" s="83">
        <f t="shared" si="2"/>
        <v>24413</v>
      </c>
      <c r="P52" s="80"/>
      <c r="Q52" s="35"/>
    </row>
    <row r="53" ht="18.0" customHeight="1">
      <c r="A53" s="45"/>
      <c r="B53" s="45"/>
      <c r="C53" s="98"/>
      <c r="D53" s="77" t="s">
        <v>37</v>
      </c>
      <c r="E53" s="83">
        <v>0.0</v>
      </c>
      <c r="F53" s="75"/>
      <c r="G53" s="83">
        <v>0.0</v>
      </c>
      <c r="H53" s="75"/>
      <c r="I53" s="83">
        <v>0.0</v>
      </c>
      <c r="J53" s="75"/>
      <c r="K53" s="83">
        <v>0.0</v>
      </c>
      <c r="L53" s="75"/>
      <c r="M53" s="83">
        <v>0.0</v>
      </c>
      <c r="N53" s="80"/>
      <c r="O53" s="83">
        <f t="shared" si="2"/>
        <v>0</v>
      </c>
      <c r="P53" s="80"/>
      <c r="Q53" s="35"/>
    </row>
    <row r="54" ht="18.0" customHeight="1">
      <c r="A54" s="45"/>
      <c r="B54" s="45"/>
      <c r="C54" s="109"/>
      <c r="D54" s="110" t="s">
        <v>33</v>
      </c>
      <c r="E54" s="111">
        <v>0.0</v>
      </c>
      <c r="F54" s="112"/>
      <c r="G54" s="113">
        <v>15000.0</v>
      </c>
      <c r="H54" s="112"/>
      <c r="I54" s="113">
        <v>10500.0</v>
      </c>
      <c r="J54" s="112"/>
      <c r="K54" s="113">
        <v>13690.0</v>
      </c>
      <c r="L54" s="112"/>
      <c r="M54" s="111">
        <v>0.0</v>
      </c>
      <c r="N54" s="114"/>
      <c r="O54" s="111">
        <f t="shared" si="2"/>
        <v>39190</v>
      </c>
      <c r="P54" s="114"/>
      <c r="Q54" s="35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</row>
    <row r="56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</row>
    <row r="57" ht="18.0" customHeight="1">
      <c r="A57" s="10"/>
      <c r="B57" s="12"/>
      <c r="C57" s="13"/>
      <c r="D57" s="13"/>
      <c r="E57" s="13"/>
      <c r="F57" s="5"/>
      <c r="G57" s="5"/>
      <c r="H57" s="3" t="str">
        <f t="array" ref="H57">(INDIRECT("I" &amp; ROW() + 1)/INDIRECT("E" &amp; ROW() + 1))</f>
        <v>#DIV/0!</v>
      </c>
      <c r="I57" s="7"/>
      <c r="J57" s="5"/>
      <c r="K57" s="7"/>
      <c r="L57" s="4">
        <f t="array" ref="L57">(1 - INDIRECT("I" &amp; ROW()))</f>
        <v>1</v>
      </c>
      <c r="M57" s="5"/>
      <c r="N57" s="5"/>
      <c r="O57" s="5"/>
      <c r="P57" s="5"/>
      <c r="Q57" s="5"/>
    </row>
    <row r="58" ht="33.75" customHeight="1">
      <c r="A58" s="21"/>
      <c r="B58" s="22"/>
      <c r="C58" s="13"/>
      <c r="D58" s="24">
        <f>O78</f>
        <v>764093</v>
      </c>
      <c r="F58" s="5"/>
      <c r="H58" s="27">
        <f>O63</f>
        <v>691836</v>
      </c>
      <c r="J58" s="5"/>
      <c r="K58" s="32">
        <f>D58-H58</f>
        <v>72257</v>
      </c>
      <c r="M58" s="123">
        <v>1.0</v>
      </c>
      <c r="O58" s="5"/>
      <c r="P58" s="5"/>
      <c r="Q58" s="5"/>
    </row>
    <row r="59" ht="18.0" customHeight="1">
      <c r="A59" s="37"/>
      <c r="B59" s="37"/>
      <c r="C59" s="40" t="s">
        <v>1</v>
      </c>
      <c r="D59" s="42"/>
      <c r="E59" s="42"/>
      <c r="F59" s="42"/>
      <c r="G59" s="42"/>
      <c r="H59" s="40" t="s">
        <v>2</v>
      </c>
      <c r="I59" s="42"/>
      <c r="J59" s="18"/>
      <c r="K59" s="40" t="s">
        <v>3</v>
      </c>
      <c r="L59" s="42"/>
      <c r="M59" s="44" t="s">
        <v>14</v>
      </c>
      <c r="N59" s="42"/>
      <c r="O59" s="18"/>
      <c r="P59" s="18"/>
      <c r="Q59" s="18"/>
    </row>
    <row r="60" ht="18.0" customHeight="1">
      <c r="A60" s="19"/>
      <c r="B60" s="19"/>
      <c r="C60" s="19"/>
      <c r="D60" s="19"/>
      <c r="E60" s="19" t="s">
        <v>4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ht="18.0" customHeight="1">
      <c r="A61" s="45"/>
      <c r="B61" s="45"/>
      <c r="C61" s="128" t="s">
        <v>50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9"/>
    </row>
    <row r="62" ht="18.0" customHeight="1">
      <c r="A62" s="45"/>
      <c r="B62" s="45"/>
      <c r="C62" s="29"/>
      <c r="D62" s="54" t="s">
        <v>6</v>
      </c>
      <c r="E62" s="57" t="s">
        <v>15</v>
      </c>
      <c r="G62" s="57" t="s">
        <v>16</v>
      </c>
      <c r="I62" s="57" t="s">
        <v>17</v>
      </c>
      <c r="K62" s="57" t="s">
        <v>18</v>
      </c>
      <c r="M62" s="57" t="s">
        <v>19</v>
      </c>
      <c r="N62" s="29"/>
      <c r="O62" s="57" t="s">
        <v>12</v>
      </c>
      <c r="P62" s="29"/>
      <c r="Q62" s="35"/>
    </row>
    <row r="63" ht="18.0" customHeight="1">
      <c r="A63" s="45"/>
      <c r="B63" s="45"/>
      <c r="C63" s="55"/>
      <c r="D63" s="64" t="s">
        <v>13</v>
      </c>
      <c r="E63" s="67">
        <f>SUM(E64:F77)</f>
        <v>38926</v>
      </c>
      <c r="F63" s="62"/>
      <c r="G63" s="67">
        <f>SUM(G64:H77)</f>
        <v>58632</v>
      </c>
      <c r="H63" s="62"/>
      <c r="I63" s="67">
        <f>SUM(I64:J77)</f>
        <v>285478</v>
      </c>
      <c r="J63" s="62"/>
      <c r="K63" s="67">
        <f>SUM(K64:L77)</f>
        <v>298808</v>
      </c>
      <c r="L63" s="62"/>
      <c r="M63" s="67">
        <f>SUM(M64:M77)</f>
        <v>9992</v>
      </c>
      <c r="N63" s="72"/>
      <c r="O63" s="67">
        <f t="shared" ref="O63:O82" si="3">SUM(E63:N63)</f>
        <v>691836</v>
      </c>
      <c r="P63" s="72"/>
      <c r="Q63" s="35"/>
    </row>
    <row r="64" ht="18.0" customHeight="1">
      <c r="A64" s="45"/>
      <c r="B64" s="45"/>
      <c r="C64" s="70"/>
      <c r="D64" s="77" t="s">
        <v>20</v>
      </c>
      <c r="E64" s="79">
        <v>0.0</v>
      </c>
      <c r="F64" s="75"/>
      <c r="G64" s="81">
        <v>0.0</v>
      </c>
      <c r="H64" s="75"/>
      <c r="I64" s="81">
        <v>210155.0</v>
      </c>
      <c r="J64" s="75"/>
      <c r="K64" s="81">
        <v>0.0</v>
      </c>
      <c r="L64" s="75"/>
      <c r="M64" s="81">
        <v>0.0</v>
      </c>
      <c r="N64" s="80"/>
      <c r="O64" s="83">
        <f t="shared" si="3"/>
        <v>210155</v>
      </c>
      <c r="P64" s="80"/>
      <c r="Q64" s="35"/>
    </row>
    <row r="65" ht="18.0" customHeight="1">
      <c r="A65" s="45"/>
      <c r="B65" s="45"/>
      <c r="C65" s="70"/>
      <c r="D65" s="77" t="s">
        <v>21</v>
      </c>
      <c r="E65" s="81">
        <f>718+3956+2646+489+11774</f>
        <v>19583</v>
      </c>
      <c r="F65" s="75"/>
      <c r="G65" s="79">
        <f>3425+699+3356+699+2246+449+5211</f>
        <v>16085</v>
      </c>
      <c r="H65" s="75"/>
      <c r="I65" s="81">
        <f>6584+690+7931+459+5808</f>
        <v>21472</v>
      </c>
      <c r="J65" s="75"/>
      <c r="K65" s="81">
        <f>5480+6543+699+3074+529</f>
        <v>16325</v>
      </c>
      <c r="L65" s="75"/>
      <c r="M65" s="81">
        <f>(9261-1219-1799)+1851+1098</f>
        <v>9192</v>
      </c>
      <c r="N65" s="80"/>
      <c r="O65" s="83">
        <f t="shared" si="3"/>
        <v>82657</v>
      </c>
      <c r="P65" s="80"/>
      <c r="Q65" s="35"/>
    </row>
    <row r="66" ht="18.0" customHeight="1">
      <c r="A66" s="45"/>
      <c r="B66" s="45"/>
      <c r="C66" s="70"/>
      <c r="D66" s="87" t="s">
        <v>22</v>
      </c>
      <c r="E66" s="81">
        <f>598</f>
        <v>598</v>
      </c>
      <c r="F66" s="75"/>
      <c r="G66" s="81">
        <f>999+2098</f>
        <v>3097</v>
      </c>
      <c r="H66" s="75"/>
      <c r="I66" s="81">
        <f>3296+2685</f>
        <v>5981</v>
      </c>
      <c r="J66" s="75"/>
      <c r="K66" s="81">
        <v>1649.0</v>
      </c>
      <c r="L66" s="75"/>
      <c r="M66" s="81">
        <v>0.0</v>
      </c>
      <c r="N66" s="80"/>
      <c r="O66" s="83">
        <f t="shared" si="3"/>
        <v>11325</v>
      </c>
      <c r="P66" s="80"/>
      <c r="Q66" s="35"/>
    </row>
    <row r="67" ht="18.0" customHeight="1">
      <c r="A67" s="45"/>
      <c r="B67" s="45"/>
      <c r="C67" s="70"/>
      <c r="D67" s="87" t="s">
        <v>23</v>
      </c>
      <c r="E67" s="81">
        <v>2350.0</v>
      </c>
      <c r="F67" s="75"/>
      <c r="G67" s="81">
        <f>(5680/2)</f>
        <v>2840</v>
      </c>
      <c r="H67" s="75"/>
      <c r="I67" s="79">
        <v>1049.0</v>
      </c>
      <c r="J67" s="75"/>
      <c r="K67" s="81">
        <v>2800.0</v>
      </c>
      <c r="L67" s="75"/>
      <c r="M67" s="81">
        <v>0.0</v>
      </c>
      <c r="N67" s="80"/>
      <c r="O67" s="83">
        <f t="shared" si="3"/>
        <v>9039</v>
      </c>
      <c r="P67" s="80"/>
      <c r="Q67" s="35"/>
    </row>
    <row r="68" ht="18.0" customHeight="1">
      <c r="A68" s="45"/>
      <c r="B68" s="45"/>
      <c r="C68" s="70"/>
      <c r="D68" s="77" t="s">
        <v>24</v>
      </c>
      <c r="E68" s="81">
        <v>0.0</v>
      </c>
      <c r="F68" s="75"/>
      <c r="G68" s="81">
        <v>1590.0</v>
      </c>
      <c r="H68" s="75"/>
      <c r="I68" s="81">
        <v>0.0</v>
      </c>
      <c r="J68" s="75"/>
      <c r="K68" s="81">
        <v>0.0</v>
      </c>
      <c r="L68" s="75"/>
      <c r="M68" s="81">
        <v>0.0</v>
      </c>
      <c r="N68" s="80"/>
      <c r="O68" s="83">
        <f t="shared" si="3"/>
        <v>1590</v>
      </c>
      <c r="P68" s="80"/>
      <c r="Q68" s="35"/>
    </row>
    <row r="69" ht="18.0" customHeight="1">
      <c r="A69" s="45"/>
      <c r="B69" s="45"/>
      <c r="C69" s="70"/>
      <c r="D69" s="77" t="s">
        <v>25</v>
      </c>
      <c r="E69" s="81">
        <v>0.0</v>
      </c>
      <c r="F69" s="75"/>
      <c r="G69" s="79">
        <v>0.0</v>
      </c>
      <c r="H69" s="75"/>
      <c r="I69" s="81">
        <v>0.0</v>
      </c>
      <c r="J69" s="75"/>
      <c r="K69" s="81">
        <v>0.0</v>
      </c>
      <c r="L69" s="75"/>
      <c r="M69" s="83">
        <v>0.0</v>
      </c>
      <c r="N69" s="80"/>
      <c r="O69" s="83">
        <f t="shared" si="3"/>
        <v>0</v>
      </c>
      <c r="P69" s="80"/>
      <c r="Q69" s="35"/>
    </row>
    <row r="70" ht="18.0" customHeight="1">
      <c r="A70" s="45"/>
      <c r="B70" s="45"/>
      <c r="C70" s="70"/>
      <c r="D70" s="77" t="s">
        <v>26</v>
      </c>
      <c r="E70" s="81">
        <v>5000.0</v>
      </c>
      <c r="F70" s="75"/>
      <c r="G70" s="81">
        <v>0.0</v>
      </c>
      <c r="H70" s="75"/>
      <c r="I70" s="79">
        <v>5000.0</v>
      </c>
      <c r="J70" s="75"/>
      <c r="K70" s="81">
        <v>4934.0</v>
      </c>
      <c r="L70" s="75"/>
      <c r="M70" s="81">
        <v>0.0</v>
      </c>
      <c r="N70" s="80"/>
      <c r="O70" s="83">
        <f t="shared" si="3"/>
        <v>14934</v>
      </c>
      <c r="P70" s="80"/>
      <c r="Q70" s="35"/>
    </row>
    <row r="71" ht="18.0" customHeight="1">
      <c r="A71" s="45"/>
      <c r="B71" s="45"/>
      <c r="C71" s="70"/>
      <c r="D71" s="77" t="s">
        <v>27</v>
      </c>
      <c r="E71" s="83">
        <v>0.0</v>
      </c>
      <c r="F71" s="75"/>
      <c r="G71" s="83">
        <v>0.0</v>
      </c>
      <c r="H71" s="75"/>
      <c r="I71" s="81">
        <v>3990.0</v>
      </c>
      <c r="J71" s="75"/>
      <c r="K71" s="83">
        <v>0.0</v>
      </c>
      <c r="L71" s="75"/>
      <c r="M71" s="81">
        <v>0.0</v>
      </c>
      <c r="N71" s="80"/>
      <c r="O71" s="83">
        <f t="shared" si="3"/>
        <v>3990</v>
      </c>
      <c r="P71" s="80"/>
      <c r="Q71" s="35"/>
    </row>
    <row r="72" ht="18.0" customHeight="1">
      <c r="A72" s="45"/>
      <c r="B72" s="45"/>
      <c r="C72" s="70"/>
      <c r="D72" s="77" t="s">
        <v>28</v>
      </c>
      <c r="E72" s="83">
        <v>0.0</v>
      </c>
      <c r="F72" s="75"/>
      <c r="G72" s="83">
        <v>0.0</v>
      </c>
      <c r="H72" s="75"/>
      <c r="I72" s="83">
        <v>0.0</v>
      </c>
      <c r="J72" s="75"/>
      <c r="K72" s="83">
        <v>0.0</v>
      </c>
      <c r="L72" s="75"/>
      <c r="M72" s="79">
        <v>0.0</v>
      </c>
      <c r="N72" s="80"/>
      <c r="O72" s="83">
        <f t="shared" si="3"/>
        <v>0</v>
      </c>
      <c r="P72" s="80"/>
      <c r="Q72" s="35"/>
    </row>
    <row r="73" ht="18.0" customHeight="1">
      <c r="A73" s="45"/>
      <c r="B73" s="45"/>
      <c r="C73" s="70"/>
      <c r="D73" s="77" t="s">
        <v>29</v>
      </c>
      <c r="E73" s="79">
        <v>1000.0</v>
      </c>
      <c r="F73" s="75"/>
      <c r="G73" s="81">
        <v>8950.0</v>
      </c>
      <c r="H73" s="75"/>
      <c r="I73" s="83">
        <v>0.0</v>
      </c>
      <c r="J73" s="75"/>
      <c r="K73" s="83">
        <v>0.0</v>
      </c>
      <c r="L73" s="75"/>
      <c r="M73" s="83">
        <v>0.0</v>
      </c>
      <c r="N73" s="80"/>
      <c r="O73" s="83">
        <f t="shared" si="3"/>
        <v>9950</v>
      </c>
      <c r="P73" s="80"/>
      <c r="Q73" s="35"/>
    </row>
    <row r="74" ht="18.0" customHeight="1">
      <c r="A74" s="45"/>
      <c r="B74" s="45"/>
      <c r="C74" s="70"/>
      <c r="D74" s="77" t="s">
        <v>30</v>
      </c>
      <c r="E74" s="81">
        <v>2245.0</v>
      </c>
      <c r="F74" s="75"/>
      <c r="G74" s="81">
        <v>3090.0</v>
      </c>
      <c r="H74" s="75"/>
      <c r="I74" s="81">
        <v>0.0</v>
      </c>
      <c r="J74" s="75"/>
      <c r="K74" s="81">
        <v>0.0</v>
      </c>
      <c r="L74" s="75"/>
      <c r="M74" s="81">
        <v>0.0</v>
      </c>
      <c r="N74" s="80"/>
      <c r="O74" s="83">
        <f t="shared" si="3"/>
        <v>5335</v>
      </c>
      <c r="P74" s="80"/>
      <c r="Q74" s="35"/>
    </row>
    <row r="75" ht="18.0" customHeight="1">
      <c r="A75" s="45"/>
      <c r="B75" s="45"/>
      <c r="C75" s="70"/>
      <c r="D75" s="89" t="s">
        <v>31</v>
      </c>
      <c r="E75" s="81">
        <v>2350.0</v>
      </c>
      <c r="F75" s="75"/>
      <c r="G75" s="81">
        <f>(2780- 1590)+(5680/2) + 990+3990 + 13970</f>
        <v>22980</v>
      </c>
      <c r="H75" s="75"/>
      <c r="I75" s="81">
        <f>7800+(55480-27500-10000)</f>
        <v>25780</v>
      </c>
      <c r="J75" s="75"/>
      <c r="K75" s="81">
        <f>3100</f>
        <v>3100</v>
      </c>
      <c r="L75" s="75"/>
      <c r="M75" s="81">
        <v>0.0</v>
      </c>
      <c r="N75" s="80"/>
      <c r="O75" s="83">
        <f t="shared" si="3"/>
        <v>54210</v>
      </c>
      <c r="P75" s="80"/>
      <c r="Q75" s="35"/>
    </row>
    <row r="76" ht="18.0" customHeight="1">
      <c r="A76" s="45"/>
      <c r="B76" s="45"/>
      <c r="C76" s="70"/>
      <c r="D76" s="77" t="s">
        <v>32</v>
      </c>
      <c r="E76" s="83">
        <f>(8700-2900)</f>
        <v>5800</v>
      </c>
      <c r="F76" s="75"/>
      <c r="G76" s="81">
        <v>0.0</v>
      </c>
      <c r="H76" s="75"/>
      <c r="I76" s="83">
        <v>0.0</v>
      </c>
      <c r="J76" s="75"/>
      <c r="K76" s="81">
        <v>0.0</v>
      </c>
      <c r="L76" s="75"/>
      <c r="M76" s="81">
        <v>800.0</v>
      </c>
      <c r="N76" s="80"/>
      <c r="O76" s="83">
        <f t="shared" si="3"/>
        <v>6600</v>
      </c>
      <c r="P76" s="80"/>
      <c r="Q76" s="35"/>
    </row>
    <row r="77" ht="18.0" customHeight="1">
      <c r="A77" s="45"/>
      <c r="B77" s="45"/>
      <c r="C77" s="70"/>
      <c r="D77" s="77" t="s">
        <v>33</v>
      </c>
      <c r="E77" s="83">
        <v>0.0</v>
      </c>
      <c r="F77" s="75"/>
      <c r="G77" s="79">
        <v>0.0</v>
      </c>
      <c r="H77" s="75"/>
      <c r="I77" s="81">
        <f>6000+6051</f>
        <v>12051</v>
      </c>
      <c r="J77" s="75"/>
      <c r="K77" s="195">
        <v>270000.0</v>
      </c>
      <c r="L77" s="75"/>
      <c r="M77" s="81">
        <v>0.0</v>
      </c>
      <c r="N77" s="80"/>
      <c r="O77" s="83">
        <f t="shared" si="3"/>
        <v>282051</v>
      </c>
      <c r="P77" s="80"/>
      <c r="Q77" s="35"/>
    </row>
    <row r="78" ht="18.0" customHeight="1">
      <c r="A78" s="45"/>
      <c r="B78" s="45"/>
      <c r="C78" s="93"/>
      <c r="D78" s="94" t="s">
        <v>34</v>
      </c>
      <c r="E78" s="95">
        <f>SUM(E79:F82)</f>
        <v>689093</v>
      </c>
      <c r="F78" s="75"/>
      <c r="G78" s="95">
        <f>SUM(G79:G82)</f>
        <v>0</v>
      </c>
      <c r="H78" s="75"/>
      <c r="I78" s="95">
        <f>SUM(I79:I82)</f>
        <v>0</v>
      </c>
      <c r="J78" s="75"/>
      <c r="K78" s="95">
        <f>SUM(K79:K82)</f>
        <v>75000</v>
      </c>
      <c r="L78" s="75"/>
      <c r="M78" s="95">
        <f>SUM(M79:M82)</f>
        <v>0</v>
      </c>
      <c r="N78" s="93"/>
      <c r="O78" s="95">
        <f t="shared" si="3"/>
        <v>764093</v>
      </c>
      <c r="P78" s="93"/>
      <c r="Q78" s="35"/>
    </row>
    <row r="79" ht="18.0" customHeight="1">
      <c r="A79" s="45"/>
      <c r="B79" s="45"/>
      <c r="C79" s="98"/>
      <c r="D79" s="77" t="s">
        <v>35</v>
      </c>
      <c r="E79" s="100">
        <v>664678.0</v>
      </c>
      <c r="F79" s="75"/>
      <c r="G79" s="83">
        <v>0.0</v>
      </c>
      <c r="H79" s="75"/>
      <c r="I79" s="83">
        <v>0.0</v>
      </c>
      <c r="J79" s="75"/>
      <c r="K79" s="83">
        <v>0.0</v>
      </c>
      <c r="L79" s="75"/>
      <c r="M79" s="83">
        <v>0.0</v>
      </c>
      <c r="N79" s="80"/>
      <c r="O79" s="83">
        <f t="shared" si="3"/>
        <v>664678</v>
      </c>
      <c r="P79" s="80"/>
      <c r="Q79" s="35"/>
    </row>
    <row r="80" ht="18.0" customHeight="1">
      <c r="A80" s="45"/>
      <c r="B80" s="45"/>
      <c r="C80" s="98"/>
      <c r="D80" s="77" t="s">
        <v>36</v>
      </c>
      <c r="E80" s="81">
        <v>24415.0</v>
      </c>
      <c r="F80" s="75"/>
      <c r="G80" s="102"/>
      <c r="H80" s="83">
        <v>0.0</v>
      </c>
      <c r="I80" s="102"/>
      <c r="J80" s="83">
        <v>0.0</v>
      </c>
      <c r="K80" s="102"/>
      <c r="L80" s="83">
        <v>0.0</v>
      </c>
      <c r="M80" s="83">
        <v>0.0</v>
      </c>
      <c r="N80" s="80"/>
      <c r="O80" s="83">
        <f t="shared" si="3"/>
        <v>24415</v>
      </c>
      <c r="P80" s="80"/>
      <c r="Q80" s="35"/>
    </row>
    <row r="81" ht="18.0" customHeight="1">
      <c r="A81" s="45"/>
      <c r="B81" s="45"/>
      <c r="C81" s="98"/>
      <c r="D81" s="77" t="s">
        <v>37</v>
      </c>
      <c r="E81" s="83">
        <v>0.0</v>
      </c>
      <c r="F81" s="75"/>
      <c r="G81" s="83">
        <v>0.0</v>
      </c>
      <c r="H81" s="75"/>
      <c r="I81" s="83">
        <v>0.0</v>
      </c>
      <c r="J81" s="75"/>
      <c r="K81" s="83">
        <v>0.0</v>
      </c>
      <c r="L81" s="75"/>
      <c r="M81" s="83">
        <v>0.0</v>
      </c>
      <c r="N81" s="80"/>
      <c r="O81" s="83">
        <f t="shared" si="3"/>
        <v>0</v>
      </c>
      <c r="P81" s="80"/>
      <c r="Q81" s="35"/>
      <c r="S81" s="196" t="s">
        <v>51</v>
      </c>
    </row>
    <row r="82" ht="18.0" customHeight="1">
      <c r="A82" s="45"/>
      <c r="B82" s="45"/>
      <c r="C82" s="109"/>
      <c r="D82" s="110" t="s">
        <v>33</v>
      </c>
      <c r="E82" s="111">
        <v>0.0</v>
      </c>
      <c r="F82" s="112"/>
      <c r="G82" s="113">
        <v>0.0</v>
      </c>
      <c r="H82" s="112"/>
      <c r="I82" s="113">
        <v>0.0</v>
      </c>
      <c r="J82" s="112"/>
      <c r="K82" s="113">
        <v>75000.0</v>
      </c>
      <c r="L82" s="112"/>
      <c r="M82" s="111">
        <v>0.0</v>
      </c>
      <c r="N82" s="114"/>
      <c r="O82" s="111">
        <f t="shared" si="3"/>
        <v>75000</v>
      </c>
      <c r="P82" s="114"/>
      <c r="Q82" s="35"/>
    </row>
    <row r="83" ht="18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</row>
    <row r="84" ht="18.0" customHeight="1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6"/>
      <c r="O84" s="116"/>
      <c r="P84" s="116"/>
      <c r="Q84" s="19"/>
    </row>
    <row r="85">
      <c r="A85" s="10"/>
      <c r="B85" s="12"/>
      <c r="C85" s="13"/>
      <c r="D85" s="13"/>
      <c r="E85" s="13"/>
      <c r="F85" s="5"/>
      <c r="G85" s="5"/>
      <c r="H85" s="3" t="str">
        <f t="array" ref="H85">(INDIRECT("I" &amp; ROW() + 1)/INDIRECT("E" &amp; ROW() + 1))</f>
        <v>#DIV/0!</v>
      </c>
      <c r="I85" s="7"/>
      <c r="J85" s="5"/>
      <c r="K85" s="7"/>
      <c r="L85" s="4">
        <f t="array" ref="L85">(1 - INDIRECT("I" &amp; ROW()))</f>
        <v>1</v>
      </c>
      <c r="M85" s="5"/>
      <c r="N85" s="5"/>
      <c r="O85" s="5"/>
      <c r="P85" s="5"/>
      <c r="Q85" s="5"/>
    </row>
    <row r="86">
      <c r="A86" s="21"/>
      <c r="B86" s="22"/>
      <c r="C86" s="13"/>
      <c r="D86" s="24">
        <f>O106</f>
        <v>910000</v>
      </c>
      <c r="F86" s="5"/>
      <c r="H86" s="27">
        <f>O91</f>
        <v>476726.2</v>
      </c>
      <c r="J86" s="5"/>
      <c r="K86" s="32">
        <f>D86-H86</f>
        <v>433273.8</v>
      </c>
      <c r="M86" s="123">
        <v>1.0</v>
      </c>
      <c r="O86" s="5"/>
      <c r="P86" s="5"/>
      <c r="Q86" s="5"/>
    </row>
    <row r="87">
      <c r="A87" s="37"/>
      <c r="B87" s="37"/>
      <c r="C87" s="40" t="s">
        <v>1</v>
      </c>
      <c r="D87" s="42"/>
      <c r="E87" s="42"/>
      <c r="F87" s="42"/>
      <c r="G87" s="42"/>
      <c r="H87" s="40" t="s">
        <v>2</v>
      </c>
      <c r="I87" s="42"/>
      <c r="J87" s="18"/>
      <c r="K87" s="40" t="s">
        <v>3</v>
      </c>
      <c r="L87" s="42"/>
      <c r="M87" s="44" t="s">
        <v>14</v>
      </c>
      <c r="N87" s="42"/>
      <c r="O87" s="18"/>
      <c r="P87" s="18"/>
      <c r="Q87" s="18"/>
    </row>
    <row r="88">
      <c r="A88" s="19"/>
      <c r="B88" s="19"/>
      <c r="C88" s="19"/>
      <c r="D88" s="19"/>
      <c r="E88" s="19" t="s">
        <v>4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</row>
    <row r="89">
      <c r="A89" s="45"/>
      <c r="B89" s="45"/>
      <c r="C89" s="198" t="s">
        <v>52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9"/>
    </row>
    <row r="90">
      <c r="A90" s="45"/>
      <c r="B90" s="45"/>
      <c r="C90" s="29"/>
      <c r="D90" s="54" t="s">
        <v>6</v>
      </c>
      <c r="E90" s="57" t="s">
        <v>15</v>
      </c>
      <c r="G90" s="57" t="s">
        <v>16</v>
      </c>
      <c r="I90" s="57" t="s">
        <v>17</v>
      </c>
      <c r="K90" s="57" t="s">
        <v>18</v>
      </c>
      <c r="M90" s="57" t="s">
        <v>19</v>
      </c>
      <c r="N90" s="29"/>
      <c r="O90" s="57" t="s">
        <v>12</v>
      </c>
      <c r="P90" s="29"/>
      <c r="Q90" s="35"/>
    </row>
    <row r="91">
      <c r="A91" s="45"/>
      <c r="B91" s="45"/>
      <c r="C91" s="55"/>
      <c r="D91" s="64" t="s">
        <v>13</v>
      </c>
      <c r="E91" s="67">
        <f>SUM(E92:F105)</f>
        <v>35598</v>
      </c>
      <c r="F91" s="62"/>
      <c r="G91" s="67">
        <f>SUM(G92:H105)</f>
        <v>277391</v>
      </c>
      <c r="H91" s="62"/>
      <c r="I91" s="67">
        <f>SUM(I92:J105)</f>
        <v>42036</v>
      </c>
      <c r="J91" s="62"/>
      <c r="K91" s="67">
        <f>SUM(K92:L105)</f>
        <v>109052.2</v>
      </c>
      <c r="L91" s="62"/>
      <c r="M91" s="67">
        <f>SUM(M92:M105)</f>
        <v>12649</v>
      </c>
      <c r="N91" s="72"/>
      <c r="O91" s="67">
        <f t="shared" ref="O91:O110" si="4">SUM(E91:N91)</f>
        <v>476726.2</v>
      </c>
      <c r="P91" s="72"/>
      <c r="Q91" s="35"/>
    </row>
    <row r="92">
      <c r="A92" s="45"/>
      <c r="B92" s="45"/>
      <c r="C92" s="70"/>
      <c r="D92" s="77" t="s">
        <v>20</v>
      </c>
      <c r="E92" s="79">
        <v>0.0</v>
      </c>
      <c r="F92" s="75"/>
      <c r="G92" s="81">
        <v>200249.0</v>
      </c>
      <c r="H92" s="75"/>
      <c r="I92" s="81">
        <v>0.0</v>
      </c>
      <c r="J92" s="75"/>
      <c r="K92" s="81">
        <v>0.0</v>
      </c>
      <c r="L92" s="75"/>
      <c r="M92" s="81">
        <v>0.0</v>
      </c>
      <c r="N92" s="80"/>
      <c r="O92" s="83">
        <f t="shared" si="4"/>
        <v>200249</v>
      </c>
      <c r="P92" s="80"/>
      <c r="Q92" s="35"/>
    </row>
    <row r="93">
      <c r="A93" s="45"/>
      <c r="B93" s="45"/>
      <c r="C93" s="70"/>
      <c r="D93" s="77" t="s">
        <v>21</v>
      </c>
      <c r="E93" s="81">
        <f>11912+788+1886+2797</f>
        <v>17383</v>
      </c>
      <c r="F93" s="75"/>
      <c r="G93" s="79">
        <f>2042+2046+427+6423+560+3903+790</f>
        <v>16191</v>
      </c>
      <c r="H93" s="75"/>
      <c r="I93" s="81">
        <f>898+974+7263+9782+1213+4844</f>
        <v>24974</v>
      </c>
      <c r="J93" s="75"/>
      <c r="K93" s="81">
        <f>1648+4868+1645+629+2636</f>
        <v>11426</v>
      </c>
      <c r="L93" s="75"/>
      <c r="M93" s="81">
        <f>5600+2663</f>
        <v>8263</v>
      </c>
      <c r="N93" s="80"/>
      <c r="O93" s="83">
        <f t="shared" si="4"/>
        <v>78237</v>
      </c>
      <c r="P93" s="80"/>
      <c r="Q93" s="35"/>
    </row>
    <row r="94">
      <c r="A94" s="45"/>
      <c r="B94" s="45"/>
      <c r="C94" s="70"/>
      <c r="D94" s="87" t="s">
        <v>22</v>
      </c>
      <c r="E94" s="81">
        <v>0.0</v>
      </c>
      <c r="F94" s="75"/>
      <c r="G94" s="81">
        <f>1985+1199+1596+2678</f>
        <v>7458</v>
      </c>
      <c r="H94" s="75"/>
      <c r="I94" s="81">
        <f>978+200+1750</f>
        <v>2928</v>
      </c>
      <c r="J94" s="75"/>
      <c r="K94" s="81">
        <v>357.0</v>
      </c>
      <c r="L94" s="75"/>
      <c r="M94" s="81">
        <v>0.0</v>
      </c>
      <c r="N94" s="80"/>
      <c r="O94" s="83">
        <f t="shared" si="4"/>
        <v>10743</v>
      </c>
      <c r="P94" s="80"/>
      <c r="Q94" s="35"/>
    </row>
    <row r="95">
      <c r="A95" s="45"/>
      <c r="B95" s="45"/>
      <c r="C95" s="70"/>
      <c r="D95" s="87" t="s">
        <v>23</v>
      </c>
      <c r="E95" s="81">
        <v>2390.0</v>
      </c>
      <c r="F95" s="75"/>
      <c r="G95" s="81">
        <v>0.0</v>
      </c>
      <c r="H95" s="75"/>
      <c r="I95" s="79">
        <f>1090+2350</f>
        <v>3440</v>
      </c>
      <c r="J95" s="75"/>
      <c r="K95" s="81">
        <f>6011.2+3300</f>
        <v>9311.2</v>
      </c>
      <c r="L95" s="75"/>
      <c r="M95" s="81">
        <v>0.0</v>
      </c>
      <c r="N95" s="80"/>
      <c r="O95" s="83">
        <f t="shared" si="4"/>
        <v>15141.2</v>
      </c>
      <c r="P95" s="80"/>
      <c r="Q95" s="35"/>
    </row>
    <row r="96">
      <c r="A96" s="45"/>
      <c r="B96" s="45"/>
      <c r="C96" s="70"/>
      <c r="D96" s="77" t="s">
        <v>24</v>
      </c>
      <c r="E96" s="81">
        <f>1250+1400+450</f>
        <v>3100</v>
      </c>
      <c r="F96" s="75"/>
      <c r="G96" s="81">
        <v>0.0</v>
      </c>
      <c r="H96" s="75"/>
      <c r="I96" s="81">
        <v>1540.0</v>
      </c>
      <c r="J96" s="75"/>
      <c r="K96" s="81">
        <f>1200+2380</f>
        <v>3580</v>
      </c>
      <c r="L96" s="75"/>
      <c r="M96" s="81">
        <f>4386</f>
        <v>4386</v>
      </c>
      <c r="N96" s="80"/>
      <c r="O96" s="83">
        <f t="shared" si="4"/>
        <v>12606</v>
      </c>
      <c r="P96" s="80"/>
      <c r="Q96" s="35"/>
    </row>
    <row r="97">
      <c r="A97" s="45"/>
      <c r="B97" s="45"/>
      <c r="C97" s="70"/>
      <c r="D97" s="77" t="s">
        <v>25</v>
      </c>
      <c r="E97" s="81">
        <v>0.0</v>
      </c>
      <c r="F97" s="75"/>
      <c r="G97" s="79">
        <f>1099+10000</f>
        <v>11099</v>
      </c>
      <c r="H97" s="75"/>
      <c r="I97" s="81">
        <v>0.0</v>
      </c>
      <c r="J97" s="75"/>
      <c r="K97" s="81">
        <v>0.0</v>
      </c>
      <c r="L97" s="75"/>
      <c r="M97" s="83">
        <v>0.0</v>
      </c>
      <c r="N97" s="80"/>
      <c r="O97" s="83">
        <f t="shared" si="4"/>
        <v>11099</v>
      </c>
      <c r="P97" s="80"/>
      <c r="Q97" s="35"/>
    </row>
    <row r="98">
      <c r="A98" s="45"/>
      <c r="B98" s="45"/>
      <c r="C98" s="70"/>
      <c r="D98" s="77" t="s">
        <v>26</v>
      </c>
      <c r="E98" s="81">
        <v>5000.0</v>
      </c>
      <c r="F98" s="75"/>
      <c r="G98" s="81">
        <f>3500+1884</f>
        <v>5384</v>
      </c>
      <c r="H98" s="75"/>
      <c r="I98" s="79">
        <v>0.0</v>
      </c>
      <c r="J98" s="75"/>
      <c r="K98" s="81">
        <v>4008.0</v>
      </c>
      <c r="L98" s="75"/>
      <c r="M98" s="81">
        <v>0.0</v>
      </c>
      <c r="N98" s="80"/>
      <c r="O98" s="83">
        <f t="shared" si="4"/>
        <v>14392</v>
      </c>
      <c r="P98" s="80"/>
      <c r="Q98" s="35"/>
    </row>
    <row r="99">
      <c r="A99" s="45"/>
      <c r="B99" s="45"/>
      <c r="C99" s="70"/>
      <c r="D99" s="77" t="s">
        <v>27</v>
      </c>
      <c r="E99" s="83">
        <v>0.0</v>
      </c>
      <c r="F99" s="75"/>
      <c r="G99" s="81">
        <f>2795</f>
        <v>2795</v>
      </c>
      <c r="H99" s="75"/>
      <c r="I99" s="81">
        <v>0.0</v>
      </c>
      <c r="J99" s="75"/>
      <c r="K99" s="83">
        <v>0.0</v>
      </c>
      <c r="L99" s="75"/>
      <c r="M99" s="81">
        <v>0.0</v>
      </c>
      <c r="N99" s="80"/>
      <c r="O99" s="83">
        <f t="shared" si="4"/>
        <v>2795</v>
      </c>
      <c r="P99" s="80"/>
      <c r="Q99" s="35"/>
    </row>
    <row r="100">
      <c r="A100" s="45"/>
      <c r="B100" s="45"/>
      <c r="C100" s="70"/>
      <c r="D100" s="77" t="s">
        <v>28</v>
      </c>
      <c r="E100" s="83">
        <v>0.0</v>
      </c>
      <c r="F100" s="75"/>
      <c r="G100" s="81">
        <v>0.0</v>
      </c>
      <c r="H100" s="75"/>
      <c r="I100" s="83">
        <v>0.0</v>
      </c>
      <c r="J100" s="75"/>
      <c r="K100" s="83">
        <v>0.0</v>
      </c>
      <c r="L100" s="75"/>
      <c r="M100" s="79">
        <v>0.0</v>
      </c>
      <c r="N100" s="80"/>
      <c r="O100" s="83">
        <f t="shared" si="4"/>
        <v>0</v>
      </c>
      <c r="P100" s="80"/>
      <c r="Q100" s="35"/>
    </row>
    <row r="101">
      <c r="A101" s="45"/>
      <c r="B101" s="45"/>
      <c r="C101" s="70"/>
      <c r="D101" s="77" t="s">
        <v>29</v>
      </c>
      <c r="E101" s="79">
        <v>1000.0</v>
      </c>
      <c r="F101" s="75"/>
      <c r="G101" s="81">
        <v>8950.0</v>
      </c>
      <c r="H101" s="75"/>
      <c r="I101" s="83">
        <v>0.0</v>
      </c>
      <c r="J101" s="75"/>
      <c r="K101" s="81">
        <v>31590.0</v>
      </c>
      <c r="L101" s="75"/>
      <c r="M101" s="83">
        <v>0.0</v>
      </c>
      <c r="N101" s="80"/>
      <c r="O101" s="83">
        <f t="shared" si="4"/>
        <v>41540</v>
      </c>
      <c r="P101" s="80"/>
      <c r="Q101" s="35"/>
    </row>
    <row r="102">
      <c r="A102" s="45"/>
      <c r="B102" s="45"/>
      <c r="C102" s="70"/>
      <c r="D102" s="77" t="s">
        <v>30</v>
      </c>
      <c r="E102" s="81">
        <v>2245.0</v>
      </c>
      <c r="F102" s="75"/>
      <c r="G102" s="81">
        <f>3126+3090</f>
        <v>6216</v>
      </c>
      <c r="H102" s="75"/>
      <c r="I102" s="81">
        <v>0.0</v>
      </c>
      <c r="J102" s="75"/>
      <c r="K102" s="81">
        <v>1790.0</v>
      </c>
      <c r="L102" s="75"/>
      <c r="M102" s="81">
        <v>0.0</v>
      </c>
      <c r="N102" s="200"/>
      <c r="O102" s="83">
        <f t="shared" si="4"/>
        <v>10251</v>
      </c>
      <c r="P102" s="80"/>
      <c r="Q102" s="35"/>
    </row>
    <row r="103">
      <c r="A103" s="45"/>
      <c r="B103" s="45"/>
      <c r="C103" s="70"/>
      <c r="D103" s="89" t="s">
        <v>31</v>
      </c>
      <c r="E103" s="81">
        <f>2500+1080</f>
        <v>3580</v>
      </c>
      <c r="F103" s="75"/>
      <c r="G103" s="81">
        <f>1750+10197+5800</f>
        <v>17747</v>
      </c>
      <c r="H103" s="75"/>
      <c r="I103" s="81">
        <f>1540+(4900-2350)</f>
        <v>4090</v>
      </c>
      <c r="J103" s="75"/>
      <c r="K103" s="81">
        <f>11000+990</f>
        <v>11990</v>
      </c>
      <c r="L103" s="75"/>
      <c r="M103" s="81">
        <v>0.0</v>
      </c>
      <c r="N103" s="80"/>
      <c r="O103" s="83">
        <f t="shared" si="4"/>
        <v>37407</v>
      </c>
      <c r="P103" s="80"/>
      <c r="Q103" s="35"/>
    </row>
    <row r="104">
      <c r="A104" s="45"/>
      <c r="B104" s="45"/>
      <c r="C104" s="70"/>
      <c r="D104" s="77" t="s">
        <v>32</v>
      </c>
      <c r="E104" s="81">
        <v>900.0</v>
      </c>
      <c r="F104" s="75"/>
      <c r="G104" s="81">
        <f>950+352</f>
        <v>1302</v>
      </c>
      <c r="H104" s="75"/>
      <c r="I104" s="81">
        <v>750.0</v>
      </c>
      <c r="J104" s="75"/>
      <c r="K104" s="81">
        <v>0.0</v>
      </c>
      <c r="L104" s="75"/>
      <c r="M104" s="83">
        <v>0.0</v>
      </c>
      <c r="N104" s="80"/>
      <c r="O104" s="83">
        <f t="shared" si="4"/>
        <v>2952</v>
      </c>
      <c r="P104" s="80"/>
      <c r="Q104" s="35"/>
    </row>
    <row r="105">
      <c r="A105" s="45"/>
      <c r="B105" s="45"/>
      <c r="C105" s="70"/>
      <c r="D105" s="77" t="s">
        <v>33</v>
      </c>
      <c r="E105" s="83">
        <v>0.0</v>
      </c>
      <c r="F105" s="75"/>
      <c r="G105" s="79">
        <v>0.0</v>
      </c>
      <c r="H105" s="75"/>
      <c r="I105" s="81">
        <f>3024+1290</f>
        <v>4314</v>
      </c>
      <c r="J105" s="75"/>
      <c r="K105" s="81">
        <v>35000.0</v>
      </c>
      <c r="L105" s="75"/>
      <c r="M105" s="81">
        <v>0.0</v>
      </c>
      <c r="N105" s="80"/>
      <c r="O105" s="83">
        <f t="shared" si="4"/>
        <v>39314</v>
      </c>
      <c r="P105" s="80"/>
      <c r="Q105" s="35"/>
    </row>
    <row r="106">
      <c r="A106" s="45"/>
      <c r="B106" s="45"/>
      <c r="C106" s="93"/>
      <c r="D106" s="94" t="s">
        <v>34</v>
      </c>
      <c r="E106" s="95">
        <f>SUM(E107:F110)</f>
        <v>0</v>
      </c>
      <c r="F106" s="75"/>
      <c r="G106" s="95">
        <f>SUM(G107:G110)</f>
        <v>875000</v>
      </c>
      <c r="H106" s="75"/>
      <c r="I106" s="95">
        <f>SUM(I107:I110)</f>
        <v>5000</v>
      </c>
      <c r="J106" s="75"/>
      <c r="K106" s="95">
        <f>SUM(K107:K110)</f>
        <v>30000</v>
      </c>
      <c r="L106" s="75"/>
      <c r="M106" s="95">
        <f>SUM(M107:M110)</f>
        <v>0</v>
      </c>
      <c r="N106" s="93"/>
      <c r="O106" s="95">
        <f t="shared" si="4"/>
        <v>910000</v>
      </c>
      <c r="P106" s="93"/>
      <c r="Q106" s="35"/>
    </row>
    <row r="107">
      <c r="A107" s="45"/>
      <c r="B107" s="45"/>
      <c r="C107" s="98"/>
      <c r="D107" s="77" t="s">
        <v>35</v>
      </c>
      <c r="E107" s="100">
        <v>0.0</v>
      </c>
      <c r="F107" s="75"/>
      <c r="G107" s="81">
        <v>855000.0</v>
      </c>
      <c r="H107" s="75"/>
      <c r="I107" s="83">
        <v>0.0</v>
      </c>
      <c r="J107" s="75"/>
      <c r="K107" s="83">
        <v>0.0</v>
      </c>
      <c r="L107" s="75"/>
      <c r="M107" s="83">
        <v>0.0</v>
      </c>
      <c r="N107" s="80"/>
      <c r="O107" s="83">
        <f t="shared" si="4"/>
        <v>855000</v>
      </c>
      <c r="P107" s="80"/>
      <c r="Q107" s="35"/>
    </row>
    <row r="108">
      <c r="A108" s="45"/>
      <c r="B108" s="45"/>
      <c r="C108" s="98"/>
      <c r="D108" s="77" t="s">
        <v>36</v>
      </c>
      <c r="E108" s="81">
        <v>0.0</v>
      </c>
      <c r="F108" s="75"/>
      <c r="G108" s="102"/>
      <c r="H108" s="83">
        <v>0.0</v>
      </c>
      <c r="I108" s="102"/>
      <c r="J108" s="83">
        <v>0.0</v>
      </c>
      <c r="K108" s="102"/>
      <c r="L108" s="83">
        <v>0.0</v>
      </c>
      <c r="M108" s="83">
        <v>0.0</v>
      </c>
      <c r="N108" s="80"/>
      <c r="O108" s="83">
        <f t="shared" si="4"/>
        <v>0</v>
      </c>
      <c r="P108" s="80"/>
      <c r="Q108" s="35"/>
    </row>
    <row r="109">
      <c r="A109" s="45"/>
      <c r="B109" s="45"/>
      <c r="C109" s="98"/>
      <c r="D109" s="77" t="s">
        <v>37</v>
      </c>
      <c r="E109" s="83">
        <v>0.0</v>
      </c>
      <c r="F109" s="75"/>
      <c r="G109" s="83">
        <v>0.0</v>
      </c>
      <c r="H109" s="75"/>
      <c r="I109" s="83">
        <v>0.0</v>
      </c>
      <c r="J109" s="75"/>
      <c r="K109" s="83">
        <v>0.0</v>
      </c>
      <c r="L109" s="75"/>
      <c r="M109" s="83">
        <v>0.0</v>
      </c>
      <c r="N109" s="80"/>
      <c r="O109" s="83">
        <f t="shared" si="4"/>
        <v>0</v>
      </c>
      <c r="P109" s="80"/>
      <c r="Q109" s="35"/>
    </row>
    <row r="110">
      <c r="A110" s="45"/>
      <c r="B110" s="45"/>
      <c r="C110" s="109"/>
      <c r="D110" s="110" t="s">
        <v>33</v>
      </c>
      <c r="E110" s="113">
        <v>0.0</v>
      </c>
      <c r="F110" s="112"/>
      <c r="G110" s="113">
        <v>20000.0</v>
      </c>
      <c r="H110" s="112"/>
      <c r="I110" s="113">
        <v>5000.0</v>
      </c>
      <c r="J110" s="112"/>
      <c r="K110" s="113">
        <v>30000.0</v>
      </c>
      <c r="L110" s="112"/>
      <c r="M110" s="111">
        <v>0.0</v>
      </c>
      <c r="N110" s="114"/>
      <c r="O110" s="111">
        <f t="shared" si="4"/>
        <v>55000</v>
      </c>
      <c r="P110" s="114"/>
      <c r="Q110" s="35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</row>
    <row r="112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6"/>
      <c r="O112" s="116"/>
      <c r="P112" s="116"/>
      <c r="Q112" s="19"/>
    </row>
    <row r="113">
      <c r="A113" s="10"/>
      <c r="B113" s="12"/>
      <c r="C113" s="13"/>
      <c r="D113" s="13"/>
      <c r="E113" s="13"/>
      <c r="F113" s="5"/>
      <c r="G113" s="5"/>
      <c r="H113" s="3" t="str">
        <f t="array" ref="H113">(INDIRECT("I" &amp; ROW() + 1)/INDIRECT("E" &amp; ROW() + 1))</f>
        <v>#DIV/0!</v>
      </c>
      <c r="I113" s="7"/>
      <c r="J113" s="5"/>
      <c r="K113" s="7"/>
      <c r="L113" s="4">
        <f t="array" ref="L113">(1 - INDIRECT("I" &amp; ROW()))</f>
        <v>1</v>
      </c>
      <c r="M113" s="5"/>
      <c r="N113" s="5"/>
      <c r="O113" s="5"/>
      <c r="P113" s="5"/>
      <c r="Q113" s="5"/>
    </row>
    <row r="114">
      <c r="A114" s="21"/>
      <c r="B114" s="22"/>
      <c r="C114" s="13"/>
      <c r="D114" s="24">
        <f>O134</f>
        <v>1608958</v>
      </c>
      <c r="F114" s="5"/>
      <c r="H114" s="27">
        <f>O119</f>
        <v>802165.82</v>
      </c>
      <c r="J114" s="5"/>
      <c r="K114" s="32">
        <f>D114-H114</f>
        <v>806792.18</v>
      </c>
      <c r="M114" s="123">
        <v>1.0</v>
      </c>
      <c r="O114" s="5"/>
      <c r="P114" s="5"/>
      <c r="Q114" s="5"/>
    </row>
    <row r="115">
      <c r="A115" s="37"/>
      <c r="B115" s="37"/>
      <c r="C115" s="40" t="s">
        <v>1</v>
      </c>
      <c r="D115" s="42"/>
      <c r="E115" s="42"/>
      <c r="F115" s="42"/>
      <c r="G115" s="42"/>
      <c r="H115" s="40" t="s">
        <v>2</v>
      </c>
      <c r="I115" s="42"/>
      <c r="J115" s="18"/>
      <c r="K115" s="40" t="s">
        <v>3</v>
      </c>
      <c r="L115" s="42"/>
      <c r="M115" s="44" t="s">
        <v>14</v>
      </c>
      <c r="N115" s="42"/>
      <c r="O115" s="18"/>
      <c r="P115" s="18"/>
      <c r="Q115" s="18"/>
    </row>
    <row r="116">
      <c r="A116" s="19"/>
      <c r="B116" s="19"/>
      <c r="C116" s="19"/>
      <c r="D116" s="19"/>
      <c r="E116" s="19" t="s">
        <v>4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</row>
    <row r="117">
      <c r="A117" s="45"/>
      <c r="B117" s="45"/>
      <c r="C117" s="198" t="s">
        <v>54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9"/>
    </row>
    <row r="118">
      <c r="A118" s="45"/>
      <c r="B118" s="45"/>
      <c r="C118" s="29"/>
      <c r="D118" s="54" t="s">
        <v>6</v>
      </c>
      <c r="E118" s="57" t="s">
        <v>15</v>
      </c>
      <c r="G118" s="57" t="s">
        <v>16</v>
      </c>
      <c r="I118" s="57" t="s">
        <v>17</v>
      </c>
      <c r="K118" s="57" t="s">
        <v>18</v>
      </c>
      <c r="M118" s="57" t="s">
        <v>19</v>
      </c>
      <c r="N118" s="29"/>
      <c r="O118" s="57" t="s">
        <v>12</v>
      </c>
      <c r="P118" s="29"/>
      <c r="Q118" s="35"/>
    </row>
    <row r="119" ht="18.0" customHeight="1">
      <c r="A119" s="45"/>
      <c r="B119" s="45"/>
      <c r="C119" s="55"/>
      <c r="D119" s="64" t="s">
        <v>13</v>
      </c>
      <c r="E119" s="67">
        <f>SUM(E120:F133)</f>
        <v>136805.32</v>
      </c>
      <c r="F119" s="62"/>
      <c r="G119" s="67">
        <f>SUM(G120:H133)</f>
        <v>69911</v>
      </c>
      <c r="H119" s="62"/>
      <c r="I119" s="67">
        <f>SUM(I120:J133)</f>
        <v>297754</v>
      </c>
      <c r="J119" s="62"/>
      <c r="K119" s="67">
        <f>SUM(K120:L133)</f>
        <v>81157</v>
      </c>
      <c r="L119" s="62"/>
      <c r="M119" s="67">
        <f>SUM(M120:M133)</f>
        <v>216538.5</v>
      </c>
      <c r="N119" s="72"/>
      <c r="O119" s="67">
        <f t="shared" ref="O119:O138" si="5">SUM(E119:N119)</f>
        <v>802165.82</v>
      </c>
      <c r="P119" s="72"/>
      <c r="Q119" s="35"/>
    </row>
    <row r="120" ht="18.0" customHeight="1">
      <c r="A120" s="45"/>
      <c r="B120" s="45"/>
      <c r="C120" s="70"/>
      <c r="D120" s="77" t="s">
        <v>20</v>
      </c>
      <c r="E120" s="79">
        <v>0.0</v>
      </c>
      <c r="F120" s="75"/>
      <c r="G120" s="81">
        <v>0.0</v>
      </c>
      <c r="H120" s="75"/>
      <c r="I120" s="81">
        <v>198184.0</v>
      </c>
      <c r="J120" s="75"/>
      <c r="K120" s="81">
        <v>0.0</v>
      </c>
      <c r="L120" s="75"/>
      <c r="M120" s="81">
        <v>0.0</v>
      </c>
      <c r="N120" s="80"/>
      <c r="O120" s="83">
        <f t="shared" si="5"/>
        <v>198184</v>
      </c>
      <c r="P120" s="80"/>
      <c r="Q120" s="35"/>
    </row>
    <row r="121" ht="18.0" customHeight="1">
      <c r="A121" s="45"/>
      <c r="B121" s="45"/>
      <c r="C121" s="70"/>
      <c r="D121" s="77" t="s">
        <v>21</v>
      </c>
      <c r="E121" s="81">
        <f>5012+4308</f>
        <v>9320</v>
      </c>
      <c r="F121" s="75"/>
      <c r="G121" s="79">
        <f>4470+4843+5014+3637</f>
        <v>17964</v>
      </c>
      <c r="H121" s="75"/>
      <c r="I121" s="81">
        <f>7368+1697+2796+550</f>
        <v>12411</v>
      </c>
      <c r="J121" s="75"/>
      <c r="K121" s="81">
        <f>7500+3090+1678+1468</f>
        <v>13736</v>
      </c>
      <c r="L121" s="75"/>
      <c r="M121" s="81">
        <f>5385+3335</f>
        <v>8720</v>
      </c>
      <c r="N121" s="80"/>
      <c r="O121" s="83">
        <f t="shared" si="5"/>
        <v>62151</v>
      </c>
      <c r="P121" s="80"/>
      <c r="Q121" s="35"/>
    </row>
    <row r="122" ht="18.0" customHeight="1">
      <c r="A122" s="45"/>
      <c r="B122" s="45"/>
      <c r="C122" s="70"/>
      <c r="D122" s="87" t="s">
        <v>22</v>
      </c>
      <c r="E122" s="81">
        <v>2308.0</v>
      </c>
      <c r="F122" s="75"/>
      <c r="G122" s="81">
        <v>0.0</v>
      </c>
      <c r="H122" s="75"/>
      <c r="I122" s="81">
        <v>2399.0</v>
      </c>
      <c r="J122" s="75"/>
      <c r="K122" s="81">
        <v>3199.0</v>
      </c>
      <c r="L122" s="75"/>
      <c r="M122" s="81">
        <v>0.0</v>
      </c>
      <c r="N122" s="80"/>
      <c r="O122" s="83">
        <f t="shared" si="5"/>
        <v>7906</v>
      </c>
      <c r="P122" s="80"/>
      <c r="Q122" s="35"/>
    </row>
    <row r="123" ht="18.0" customHeight="1">
      <c r="A123" s="45"/>
      <c r="B123" s="45"/>
      <c r="C123" s="70"/>
      <c r="D123" s="87" t="s">
        <v>23</v>
      </c>
      <c r="E123" s="81">
        <v>0.0</v>
      </c>
      <c r="F123" s="75"/>
      <c r="G123" s="81">
        <v>0.0</v>
      </c>
      <c r="H123" s="75"/>
      <c r="I123" s="79">
        <v>5610.0</v>
      </c>
      <c r="J123" s="75"/>
      <c r="K123" s="81">
        <f>5709+(5500)</f>
        <v>11209</v>
      </c>
      <c r="L123" s="75"/>
      <c r="M123" s="81">
        <f>9307.5/2+4448</f>
        <v>9101.75</v>
      </c>
      <c r="N123" s="80"/>
      <c r="O123" s="83">
        <f t="shared" si="5"/>
        <v>25920.75</v>
      </c>
      <c r="P123" s="80"/>
      <c r="Q123" s="35"/>
    </row>
    <row r="124" ht="18.0" customHeight="1">
      <c r="A124" s="45"/>
      <c r="B124" s="45"/>
      <c r="C124" s="70"/>
      <c r="D124" s="77" t="s">
        <v>24</v>
      </c>
      <c r="E124" s="81">
        <f>2872</f>
        <v>2872</v>
      </c>
      <c r="F124" s="75"/>
      <c r="G124" s="81">
        <v>1300.0</v>
      </c>
      <c r="H124" s="75"/>
      <c r="I124" s="81">
        <f>780+1190</f>
        <v>1970</v>
      </c>
      <c r="J124" s="75"/>
      <c r="K124" s="81">
        <f>750+1088</f>
        <v>1838</v>
      </c>
      <c r="L124" s="75"/>
      <c r="M124" s="81">
        <f>1310+1600</f>
        <v>2910</v>
      </c>
      <c r="N124" s="80"/>
      <c r="O124" s="83">
        <f t="shared" si="5"/>
        <v>10890</v>
      </c>
      <c r="P124" s="80"/>
      <c r="Q124" s="35"/>
    </row>
    <row r="125" ht="18.0" customHeight="1">
      <c r="A125" s="45"/>
      <c r="B125" s="45"/>
      <c r="C125" s="70"/>
      <c r="D125" s="77" t="s">
        <v>25</v>
      </c>
      <c r="E125" s="81">
        <v>29486.0</v>
      </c>
      <c r="F125" s="75"/>
      <c r="G125" s="79">
        <v>0.0</v>
      </c>
      <c r="H125" s="75"/>
      <c r="I125" s="81">
        <v>0.0</v>
      </c>
      <c r="J125" s="75"/>
      <c r="K125" s="81">
        <v>0.0</v>
      </c>
      <c r="L125" s="75"/>
      <c r="M125" s="83">
        <f>143025</f>
        <v>143025</v>
      </c>
      <c r="N125" s="80"/>
      <c r="O125" s="83">
        <f t="shared" si="5"/>
        <v>172511</v>
      </c>
      <c r="P125" s="80"/>
      <c r="Q125" s="35"/>
    </row>
    <row r="126" ht="18.0" customHeight="1">
      <c r="A126" s="45"/>
      <c r="B126" s="45"/>
      <c r="C126" s="70"/>
      <c r="D126" s="77" t="s">
        <v>26</v>
      </c>
      <c r="E126" s="81">
        <v>0.0</v>
      </c>
      <c r="F126" s="75"/>
      <c r="G126" s="81">
        <v>0.0</v>
      </c>
      <c r="H126" s="75"/>
      <c r="I126" s="79">
        <v>5000.0</v>
      </c>
      <c r="J126" s="75"/>
      <c r="K126" s="81">
        <f>6000+29464</f>
        <v>35464</v>
      </c>
      <c r="L126" s="75"/>
      <c r="M126" s="81">
        <v>6000.0</v>
      </c>
      <c r="N126" s="80"/>
      <c r="O126" s="83">
        <f t="shared" si="5"/>
        <v>46464</v>
      </c>
      <c r="P126" s="80"/>
      <c r="Q126" s="35"/>
    </row>
    <row r="127" ht="18.0" customHeight="1">
      <c r="A127" s="45"/>
      <c r="B127" s="45"/>
      <c r="C127" s="70"/>
      <c r="D127" s="77" t="s">
        <v>27</v>
      </c>
      <c r="E127" s="81">
        <v>3577.21</v>
      </c>
      <c r="F127" s="75"/>
      <c r="G127" s="81">
        <v>0.0</v>
      </c>
      <c r="H127" s="75"/>
      <c r="I127" s="81">
        <v>690.0</v>
      </c>
      <c r="J127" s="75"/>
      <c r="K127" s="81">
        <v>4995.0</v>
      </c>
      <c r="L127" s="75"/>
      <c r="M127" s="81">
        <v>9995.0</v>
      </c>
      <c r="N127" s="80"/>
      <c r="O127" s="83">
        <f t="shared" si="5"/>
        <v>19257.21</v>
      </c>
      <c r="P127" s="80"/>
      <c r="Q127" s="35"/>
    </row>
    <row r="128" ht="18.0" customHeight="1">
      <c r="A128" s="45"/>
      <c r="B128" s="45"/>
      <c r="C128" s="70"/>
      <c r="D128" s="77" t="s">
        <v>28</v>
      </c>
      <c r="E128" s="83">
        <v>0.0</v>
      </c>
      <c r="F128" s="75"/>
      <c r="G128" s="81">
        <v>0.0</v>
      </c>
      <c r="H128" s="75"/>
      <c r="I128" s="83">
        <v>0.0</v>
      </c>
      <c r="J128" s="75"/>
      <c r="K128" s="83">
        <v>0.0</v>
      </c>
      <c r="L128" s="75"/>
      <c r="M128" s="79">
        <v>0.0</v>
      </c>
      <c r="N128" s="80"/>
      <c r="O128" s="83">
        <f t="shared" si="5"/>
        <v>0</v>
      </c>
      <c r="P128" s="80"/>
      <c r="Q128" s="35"/>
    </row>
    <row r="129" ht="18.0" customHeight="1">
      <c r="A129" s="45"/>
      <c r="B129" s="45"/>
      <c r="C129" s="70"/>
      <c r="D129" s="77" t="s">
        <v>29</v>
      </c>
      <c r="E129" s="79">
        <f>1000+29796</f>
        <v>30796</v>
      </c>
      <c r="F129" s="75"/>
      <c r="G129" s="81">
        <v>8950.0</v>
      </c>
      <c r="H129" s="75"/>
      <c r="I129" s="83">
        <v>0.0</v>
      </c>
      <c r="J129" s="75"/>
      <c r="K129" s="81">
        <v>0.0</v>
      </c>
      <c r="L129" s="75"/>
      <c r="M129" s="83">
        <v>0.0</v>
      </c>
      <c r="N129" s="80"/>
      <c r="O129" s="83">
        <f t="shared" si="5"/>
        <v>39746</v>
      </c>
      <c r="P129" s="80"/>
      <c r="Q129" s="35"/>
    </row>
    <row r="130" ht="18.0" customHeight="1">
      <c r="A130" s="45"/>
      <c r="B130" s="45"/>
      <c r="C130" s="70"/>
      <c r="D130" s="77" t="s">
        <v>30</v>
      </c>
      <c r="E130" s="81">
        <v>2245.0</v>
      </c>
      <c r="F130" s="75"/>
      <c r="G130" s="81">
        <f>3090+3607</f>
        <v>6697</v>
      </c>
      <c r="H130" s="75"/>
      <c r="I130" s="81">
        <v>0.0</v>
      </c>
      <c r="J130" s="75"/>
      <c r="K130" s="81">
        <v>0.0</v>
      </c>
      <c r="L130" s="75"/>
      <c r="M130" s="81">
        <v>0.0</v>
      </c>
      <c r="N130" s="200"/>
      <c r="O130" s="83">
        <f t="shared" si="5"/>
        <v>8942</v>
      </c>
      <c r="P130" s="80"/>
      <c r="Q130" s="35"/>
    </row>
    <row r="131" ht="18.0" customHeight="1">
      <c r="A131" s="45"/>
      <c r="B131" s="45"/>
      <c r="C131" s="70"/>
      <c r="D131" s="89" t="s">
        <v>31</v>
      </c>
      <c r="E131" s="81">
        <f>2350+39308+6592</f>
        <v>48250</v>
      </c>
      <c r="F131" s="75"/>
      <c r="G131" s="81">
        <v>0.0</v>
      </c>
      <c r="H131" s="75"/>
      <c r="I131" s="81">
        <v>48000.0</v>
      </c>
      <c r="J131" s="75"/>
      <c r="K131" s="81">
        <v>0.0</v>
      </c>
      <c r="L131" s="75"/>
      <c r="M131" s="81">
        <f>9307.5/2+15564+15569</f>
        <v>35786.75</v>
      </c>
      <c r="N131" s="80"/>
      <c r="O131" s="83">
        <f t="shared" si="5"/>
        <v>132036.75</v>
      </c>
      <c r="P131" s="80"/>
      <c r="Q131" s="35"/>
    </row>
    <row r="132" ht="18.0" customHeight="1">
      <c r="A132" s="45"/>
      <c r="B132" s="45"/>
      <c r="C132" s="70"/>
      <c r="D132" s="77" t="s">
        <v>32</v>
      </c>
      <c r="E132" s="81">
        <v>0.0</v>
      </c>
      <c r="F132" s="75"/>
      <c r="G132" s="81">
        <v>0.0</v>
      </c>
      <c r="H132" s="75"/>
      <c r="I132" s="81">
        <f>16490+7000</f>
        <v>23490</v>
      </c>
      <c r="J132" s="75"/>
      <c r="K132" s="81">
        <f>16216-5500</f>
        <v>10716</v>
      </c>
      <c r="L132" s="75"/>
      <c r="M132" s="81">
        <v>1000.0</v>
      </c>
      <c r="N132" s="80"/>
      <c r="O132" s="83">
        <f t="shared" si="5"/>
        <v>35206</v>
      </c>
      <c r="P132" s="80"/>
      <c r="Q132" s="35"/>
    </row>
    <row r="133" ht="18.0" customHeight="1">
      <c r="A133" s="45"/>
      <c r="B133" s="45"/>
      <c r="C133" s="70"/>
      <c r="D133" s="77" t="s">
        <v>33</v>
      </c>
      <c r="E133" s="81">
        <v>7951.11</v>
      </c>
      <c r="F133" s="75"/>
      <c r="G133" s="79">
        <v>35000.0</v>
      </c>
      <c r="H133" s="75"/>
      <c r="I133" s="81">
        <v>0.0</v>
      </c>
      <c r="J133" s="75"/>
      <c r="K133" s="81">
        <v>0.0</v>
      </c>
      <c r="L133" s="75"/>
      <c r="M133" s="81">
        <v>0.0</v>
      </c>
      <c r="N133" s="80"/>
      <c r="O133" s="83">
        <f t="shared" si="5"/>
        <v>42951.11</v>
      </c>
      <c r="P133" s="80"/>
      <c r="Q133" s="35"/>
    </row>
    <row r="134" ht="18.0" customHeight="1">
      <c r="A134" s="45"/>
      <c r="B134" s="45"/>
      <c r="C134" s="93"/>
      <c r="D134" s="94" t="s">
        <v>34</v>
      </c>
      <c r="E134" s="95">
        <f>SUM(E135:F138)</f>
        <v>662873</v>
      </c>
      <c r="F134" s="75"/>
      <c r="G134" s="95">
        <f>SUM(G135:G138)</f>
        <v>946085</v>
      </c>
      <c r="H134" s="75"/>
      <c r="I134" s="95">
        <f>SUM(I135:I138)</f>
        <v>0</v>
      </c>
      <c r="J134" s="75"/>
      <c r="K134" s="95">
        <f>SUM(K135:K138)</f>
        <v>0</v>
      </c>
      <c r="L134" s="75"/>
      <c r="M134" s="95">
        <f>SUM(M135:M138)</f>
        <v>0</v>
      </c>
      <c r="N134" s="93"/>
      <c r="O134" s="95">
        <f t="shared" si="5"/>
        <v>1608958</v>
      </c>
      <c r="P134" s="93"/>
      <c r="Q134" s="35"/>
    </row>
    <row r="135" ht="18.0" customHeight="1">
      <c r="A135" s="45"/>
      <c r="B135" s="45"/>
      <c r="C135" s="98"/>
      <c r="D135" s="77" t="s">
        <v>35</v>
      </c>
      <c r="E135" s="100">
        <v>0.0</v>
      </c>
      <c r="F135" s="75"/>
      <c r="G135" s="81">
        <v>911085.0</v>
      </c>
      <c r="H135" s="75"/>
      <c r="I135" s="83">
        <v>0.0</v>
      </c>
      <c r="J135" s="75"/>
      <c r="K135" s="83">
        <v>0.0</v>
      </c>
      <c r="L135" s="75"/>
      <c r="M135" s="83">
        <v>0.0</v>
      </c>
      <c r="N135" s="80"/>
      <c r="O135" s="83">
        <f t="shared" si="5"/>
        <v>911085</v>
      </c>
      <c r="P135" s="80"/>
      <c r="Q135" s="35"/>
    </row>
    <row r="136" ht="18.0" customHeight="1">
      <c r="A136" s="45"/>
      <c r="B136" s="45"/>
      <c r="C136" s="98"/>
      <c r="D136" s="77" t="s">
        <v>36</v>
      </c>
      <c r="E136" s="81">
        <v>0.0</v>
      </c>
      <c r="F136" s="75"/>
      <c r="G136" s="102"/>
      <c r="H136" s="83">
        <v>0.0</v>
      </c>
      <c r="I136" s="102"/>
      <c r="J136" s="83">
        <v>0.0</v>
      </c>
      <c r="K136" s="102"/>
      <c r="L136" s="83">
        <v>0.0</v>
      </c>
      <c r="M136" s="83">
        <v>0.0</v>
      </c>
      <c r="N136" s="80"/>
      <c r="O136" s="83">
        <f t="shared" si="5"/>
        <v>0</v>
      </c>
      <c r="P136" s="80"/>
      <c r="Q136" s="35"/>
    </row>
    <row r="137" ht="18.0" customHeight="1">
      <c r="A137" s="45"/>
      <c r="B137" s="45"/>
      <c r="C137" s="98"/>
      <c r="D137" s="77" t="s">
        <v>37</v>
      </c>
      <c r="E137" s="83">
        <v>0.0</v>
      </c>
      <c r="F137" s="75"/>
      <c r="G137" s="83">
        <v>0.0</v>
      </c>
      <c r="H137" s="75"/>
      <c r="I137" s="83">
        <v>0.0</v>
      </c>
      <c r="J137" s="75"/>
      <c r="K137" s="83">
        <v>0.0</v>
      </c>
      <c r="L137" s="75"/>
      <c r="M137" s="83">
        <v>0.0</v>
      </c>
      <c r="N137" s="80"/>
      <c r="O137" s="83">
        <f t="shared" si="5"/>
        <v>0</v>
      </c>
      <c r="P137" s="80"/>
      <c r="Q137" s="35"/>
    </row>
    <row r="138" ht="18.0" customHeight="1">
      <c r="A138" s="45"/>
      <c r="B138" s="45"/>
      <c r="C138" s="109"/>
      <c r="D138" s="110" t="s">
        <v>33</v>
      </c>
      <c r="E138" s="113">
        <v>662873.0</v>
      </c>
      <c r="F138" s="112"/>
      <c r="G138" s="113">
        <f>20000+15000</f>
        <v>35000</v>
      </c>
      <c r="H138" s="112"/>
      <c r="I138" s="113">
        <v>0.0</v>
      </c>
      <c r="J138" s="112"/>
      <c r="K138" s="113">
        <v>0.0</v>
      </c>
      <c r="L138" s="112"/>
      <c r="M138" s="111">
        <v>0.0</v>
      </c>
      <c r="N138" s="114"/>
      <c r="O138" s="111">
        <f t="shared" si="5"/>
        <v>697873</v>
      </c>
      <c r="P138" s="114"/>
      <c r="Q138" s="35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</row>
    <row r="140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6"/>
      <c r="O140" s="116"/>
      <c r="P140" s="116"/>
      <c r="Q140" s="19"/>
    </row>
    <row r="141">
      <c r="A141" s="10"/>
      <c r="B141" s="12"/>
      <c r="C141" s="13"/>
      <c r="D141" s="13"/>
      <c r="E141" s="13"/>
      <c r="F141" s="5"/>
      <c r="G141" s="5"/>
      <c r="H141" s="3" t="str">
        <f t="array" ref="H141">(INDIRECT("I" &amp; ROW() + 1)/INDIRECT("E" &amp; ROW() + 1))</f>
        <v>#DIV/0!</v>
      </c>
      <c r="I141" s="7"/>
      <c r="J141" s="5"/>
      <c r="K141" s="7"/>
      <c r="L141" s="4">
        <f t="array" ref="L141">(1 - INDIRECT("I" &amp; ROW()))</f>
        <v>1</v>
      </c>
      <c r="M141" s="5"/>
      <c r="N141" s="5"/>
      <c r="O141" s="5"/>
      <c r="P141" s="5"/>
      <c r="Q141" s="5"/>
    </row>
    <row r="142">
      <c r="A142" s="21"/>
      <c r="B142" s="22"/>
      <c r="C142" s="13"/>
      <c r="D142" s="24">
        <f>O162</f>
        <v>931085</v>
      </c>
      <c r="F142" s="5"/>
      <c r="H142" s="27">
        <f>O147</f>
        <v>574866.64</v>
      </c>
      <c r="J142" s="5"/>
      <c r="K142" s="32">
        <f>D142-H142</f>
        <v>356218.36</v>
      </c>
      <c r="M142" s="123">
        <v>1.0</v>
      </c>
      <c r="O142" s="5"/>
      <c r="P142" s="5"/>
      <c r="Q142" s="5"/>
    </row>
    <row r="143">
      <c r="A143" s="37"/>
      <c r="B143" s="37"/>
      <c r="C143" s="40" t="s">
        <v>1</v>
      </c>
      <c r="D143" s="42"/>
      <c r="E143" s="42"/>
      <c r="F143" s="42"/>
      <c r="G143" s="42"/>
      <c r="H143" s="40" t="s">
        <v>2</v>
      </c>
      <c r="I143" s="42"/>
      <c r="J143" s="18"/>
      <c r="K143" s="40" t="s">
        <v>3</v>
      </c>
      <c r="L143" s="42"/>
      <c r="M143" s="44" t="s">
        <v>14</v>
      </c>
      <c r="N143" s="42"/>
      <c r="O143" s="18"/>
      <c r="P143" s="18"/>
      <c r="Q143" s="18"/>
    </row>
    <row r="144">
      <c r="A144" s="19"/>
      <c r="B144" s="19"/>
      <c r="C144" s="19"/>
      <c r="D144" s="19"/>
      <c r="E144" s="19" t="s">
        <v>4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</row>
    <row r="145">
      <c r="A145" s="45"/>
      <c r="B145" s="45"/>
      <c r="C145" s="198" t="s">
        <v>55</v>
      </c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9"/>
    </row>
    <row r="146">
      <c r="A146" s="45"/>
      <c r="B146" s="45"/>
      <c r="C146" s="29"/>
      <c r="D146" s="54" t="s">
        <v>6</v>
      </c>
      <c r="E146" s="57" t="s">
        <v>15</v>
      </c>
      <c r="G146" s="57" t="s">
        <v>16</v>
      </c>
      <c r="I146" s="57" t="s">
        <v>17</v>
      </c>
      <c r="K146" s="57" t="s">
        <v>18</v>
      </c>
      <c r="M146" s="57" t="s">
        <v>19</v>
      </c>
      <c r="N146" s="29"/>
      <c r="O146" s="57" t="s">
        <v>12</v>
      </c>
      <c r="P146" s="29"/>
      <c r="Q146" s="35"/>
    </row>
    <row r="147">
      <c r="A147" s="45"/>
      <c r="B147" s="45"/>
      <c r="C147" s="55"/>
      <c r="D147" s="64" t="s">
        <v>13</v>
      </c>
      <c r="E147" s="67">
        <f>SUM(E148:F161)</f>
        <v>42655</v>
      </c>
      <c r="F147" s="62"/>
      <c r="G147" s="67">
        <f>SUM(G148:H161)</f>
        <v>95315.5</v>
      </c>
      <c r="H147" s="62"/>
      <c r="I147" s="67">
        <f>SUM(I148:J161)</f>
        <v>249801</v>
      </c>
      <c r="J147" s="62"/>
      <c r="K147" s="67">
        <f>SUM(K148:L161)</f>
        <v>114516.14</v>
      </c>
      <c r="L147" s="62"/>
      <c r="M147" s="67">
        <f>SUM(M148:M161)</f>
        <v>72579</v>
      </c>
      <c r="N147" s="72"/>
      <c r="O147" s="67">
        <f t="shared" ref="O147:O166" si="6">SUM(E147:N147)</f>
        <v>574866.64</v>
      </c>
      <c r="P147" s="72"/>
      <c r="Q147" s="35"/>
    </row>
    <row r="148">
      <c r="A148" s="45"/>
      <c r="B148" s="45"/>
      <c r="C148" s="70"/>
      <c r="D148" s="77" t="s">
        <v>20</v>
      </c>
      <c r="E148" s="79">
        <v>0.0</v>
      </c>
      <c r="F148" s="75"/>
      <c r="G148" s="81">
        <v>0.0</v>
      </c>
      <c r="H148" s="75"/>
      <c r="I148" s="81">
        <v>200000.0</v>
      </c>
      <c r="J148" s="75"/>
      <c r="K148" s="81">
        <v>0.0</v>
      </c>
      <c r="L148" s="75"/>
      <c r="M148" s="81">
        <v>0.0</v>
      </c>
      <c r="N148" s="80"/>
      <c r="O148" s="83">
        <f t="shared" si="6"/>
        <v>200000</v>
      </c>
      <c r="P148" s="80"/>
      <c r="Q148" s="35"/>
    </row>
    <row r="149">
      <c r="A149" s="45"/>
      <c r="B149" s="45"/>
      <c r="C149" s="70"/>
      <c r="D149" s="77" t="s">
        <v>21</v>
      </c>
      <c r="E149" s="81">
        <f>6520+5722+1234+1398+1110+898+6340</f>
        <v>23222</v>
      </c>
      <c r="F149" s="75"/>
      <c r="G149" s="79">
        <f>4367+8766+4106+1598+3536</f>
        <v>22373</v>
      </c>
      <c r="H149" s="75"/>
      <c r="I149" s="81">
        <f>6912+1587+843</f>
        <v>9342</v>
      </c>
      <c r="J149" s="75"/>
      <c r="K149" s="81">
        <f>3884+7307</f>
        <v>11191</v>
      </c>
      <c r="L149" s="75"/>
      <c r="M149" s="81">
        <f>1698+1498+10002</f>
        <v>13198</v>
      </c>
      <c r="N149" s="80"/>
      <c r="O149" s="83">
        <f t="shared" si="6"/>
        <v>79326</v>
      </c>
      <c r="P149" s="80"/>
      <c r="Q149" s="35"/>
    </row>
    <row r="150">
      <c r="A150" s="45"/>
      <c r="B150" s="45"/>
      <c r="C150" s="70"/>
      <c r="D150" s="87" t="s">
        <v>22</v>
      </c>
      <c r="E150" s="81">
        <v>0.0</v>
      </c>
      <c r="F150" s="75"/>
      <c r="G150" s="81">
        <f>1558+3199</f>
        <v>4757</v>
      </c>
      <c r="H150" s="75"/>
      <c r="I150" s="81">
        <f>1999+598</f>
        <v>2597</v>
      </c>
      <c r="J150" s="75"/>
      <c r="K150" s="81">
        <v>4927.0</v>
      </c>
      <c r="L150" s="75"/>
      <c r="M150" s="81">
        <f>(9797-4000)</f>
        <v>5797</v>
      </c>
      <c r="N150" s="80"/>
      <c r="O150" s="83">
        <f t="shared" si="6"/>
        <v>18078</v>
      </c>
      <c r="P150" s="80"/>
      <c r="Q150" s="35"/>
    </row>
    <row r="151">
      <c r="A151" s="45"/>
      <c r="B151" s="45"/>
      <c r="C151" s="70"/>
      <c r="D151" s="87" t="s">
        <v>23</v>
      </c>
      <c r="E151" s="81">
        <f>5800/2</f>
        <v>2900</v>
      </c>
      <c r="F151" s="75"/>
      <c r="G151" s="81">
        <f>2848</f>
        <v>2848</v>
      </c>
      <c r="H151" s="75"/>
      <c r="I151" s="79">
        <f>5038+(2050-1200+5650-2500)</f>
        <v>9038</v>
      </c>
      <c r="J151" s="75"/>
      <c r="K151" s="81">
        <f>(8360/2)</f>
        <v>4180</v>
      </c>
      <c r="L151" s="75"/>
      <c r="M151" s="206">
        <f>6290/2+1624</f>
        <v>4769</v>
      </c>
      <c r="N151" s="80"/>
      <c r="O151" s="83">
        <f t="shared" si="6"/>
        <v>23735</v>
      </c>
      <c r="P151" s="80"/>
      <c r="Q151" s="35"/>
    </row>
    <row r="152">
      <c r="A152" s="45"/>
      <c r="B152" s="45"/>
      <c r="C152" s="70"/>
      <c r="D152" s="77" t="s">
        <v>24</v>
      </c>
      <c r="E152" s="81">
        <f>1144+1050</f>
        <v>2194</v>
      </c>
      <c r="F152" s="75"/>
      <c r="G152" s="81">
        <f>5520-2183.5+750</f>
        <v>4086.5</v>
      </c>
      <c r="H152" s="75"/>
      <c r="I152" s="81">
        <f>3460+780</f>
        <v>4240</v>
      </c>
      <c r="J152" s="75"/>
      <c r="K152" s="81">
        <v>0.0</v>
      </c>
      <c r="L152" s="75"/>
      <c r="M152" s="81">
        <f>1400+1400+3622+3248/2</f>
        <v>8046</v>
      </c>
      <c r="N152" s="80"/>
      <c r="O152" s="83">
        <f t="shared" si="6"/>
        <v>18566.5</v>
      </c>
      <c r="P152" s="80"/>
      <c r="Q152" s="35"/>
    </row>
    <row r="153">
      <c r="A153" s="45"/>
      <c r="B153" s="45"/>
      <c r="C153" s="70"/>
      <c r="D153" s="77" t="s">
        <v>25</v>
      </c>
      <c r="E153" s="81">
        <v>0.0</v>
      </c>
      <c r="F153" s="75"/>
      <c r="G153" s="79">
        <v>0.0</v>
      </c>
      <c r="H153" s="75"/>
      <c r="I153" s="81">
        <v>0.0</v>
      </c>
      <c r="J153" s="75"/>
      <c r="K153" s="81">
        <v>0.0</v>
      </c>
      <c r="L153" s="75"/>
      <c r="M153" s="81">
        <v>0.0</v>
      </c>
      <c r="N153" s="80"/>
      <c r="O153" s="83">
        <f t="shared" si="6"/>
        <v>0</v>
      </c>
      <c r="P153" s="80"/>
      <c r="Q153" s="35"/>
    </row>
    <row r="154">
      <c r="A154" s="45"/>
      <c r="B154" s="45"/>
      <c r="C154" s="70"/>
      <c r="D154" s="77" t="s">
        <v>26</v>
      </c>
      <c r="E154" s="81">
        <v>0.0</v>
      </c>
      <c r="F154" s="75"/>
      <c r="G154" s="81">
        <v>19536.0</v>
      </c>
      <c r="H154" s="75"/>
      <c r="I154" s="79">
        <v>5000.0</v>
      </c>
      <c r="J154" s="75"/>
      <c r="K154" s="81">
        <v>0.0</v>
      </c>
      <c r="L154" s="75"/>
      <c r="M154" s="81">
        <v>6000.0</v>
      </c>
      <c r="N154" s="80"/>
      <c r="O154" s="83">
        <f t="shared" si="6"/>
        <v>30536</v>
      </c>
      <c r="P154" s="80"/>
      <c r="Q154" s="35"/>
    </row>
    <row r="155">
      <c r="A155" s="45"/>
      <c r="B155" s="45"/>
      <c r="C155" s="70"/>
      <c r="D155" s="77" t="s">
        <v>27</v>
      </c>
      <c r="E155" s="81">
        <v>0.0</v>
      </c>
      <c r="F155" s="75"/>
      <c r="G155" s="81">
        <v>0.0</v>
      </c>
      <c r="H155" s="75"/>
      <c r="I155" s="81">
        <v>0.0</v>
      </c>
      <c r="J155" s="75"/>
      <c r="K155" s="81">
        <f>10485+40630</f>
        <v>51115</v>
      </c>
      <c r="L155" s="75"/>
      <c r="M155" s="81">
        <v>0.0</v>
      </c>
      <c r="N155" s="80"/>
      <c r="O155" s="83">
        <f t="shared" si="6"/>
        <v>51115</v>
      </c>
      <c r="P155" s="80"/>
      <c r="Q155" s="35"/>
    </row>
    <row r="156">
      <c r="A156" s="45"/>
      <c r="B156" s="45"/>
      <c r="C156" s="70"/>
      <c r="D156" s="77" t="s">
        <v>28</v>
      </c>
      <c r="E156" s="83">
        <v>0.0</v>
      </c>
      <c r="F156" s="75"/>
      <c r="G156" s="81">
        <v>0.0</v>
      </c>
      <c r="H156" s="75"/>
      <c r="I156" s="83">
        <v>0.0</v>
      </c>
      <c r="J156" s="75"/>
      <c r="K156" s="83">
        <v>0.0</v>
      </c>
      <c r="L156" s="75"/>
      <c r="M156" s="79">
        <v>0.0</v>
      </c>
      <c r="N156" s="80"/>
      <c r="O156" s="83">
        <f t="shared" si="6"/>
        <v>0</v>
      </c>
      <c r="P156" s="80"/>
      <c r="Q156" s="35"/>
    </row>
    <row r="157">
      <c r="A157" s="45"/>
      <c r="B157" s="45"/>
      <c r="C157" s="70"/>
      <c r="D157" s="77" t="s">
        <v>29</v>
      </c>
      <c r="E157" s="79">
        <v>1000.0</v>
      </c>
      <c r="F157" s="75"/>
      <c r="G157" s="81">
        <v>8950.0</v>
      </c>
      <c r="H157" s="75"/>
      <c r="I157" s="83">
        <v>0.0</v>
      </c>
      <c r="J157" s="75"/>
      <c r="K157" s="81">
        <v>0.0</v>
      </c>
      <c r="L157" s="75"/>
      <c r="M157" s="83">
        <v>0.0</v>
      </c>
      <c r="N157" s="80"/>
      <c r="O157" s="83">
        <f t="shared" si="6"/>
        <v>9950</v>
      </c>
      <c r="P157" s="80"/>
      <c r="Q157" s="35"/>
    </row>
    <row r="158">
      <c r="A158" s="45"/>
      <c r="B158" s="45"/>
      <c r="C158" s="70"/>
      <c r="D158" s="77" t="s">
        <v>30</v>
      </c>
      <c r="E158" s="81">
        <v>2245.0</v>
      </c>
      <c r="F158" s="75"/>
      <c r="G158" s="81">
        <v>3090.0</v>
      </c>
      <c r="H158" s="75"/>
      <c r="I158" s="81">
        <v>3604.0</v>
      </c>
      <c r="J158" s="75"/>
      <c r="K158" s="81">
        <v>1790.0</v>
      </c>
      <c r="L158" s="75"/>
      <c r="M158" s="81">
        <v>0.0</v>
      </c>
      <c r="N158" s="200"/>
      <c r="O158" s="83">
        <f t="shared" si="6"/>
        <v>10729</v>
      </c>
      <c r="P158" s="80"/>
      <c r="Q158" s="35"/>
    </row>
    <row r="159">
      <c r="A159" s="45"/>
      <c r="B159" s="45"/>
      <c r="C159" s="70"/>
      <c r="D159" s="89" t="s">
        <v>31</v>
      </c>
      <c r="E159" s="81">
        <f>1144+1050+5800/2</f>
        <v>5094</v>
      </c>
      <c r="F159" s="75"/>
      <c r="G159" s="81">
        <f>750+5000</f>
        <v>5750</v>
      </c>
      <c r="H159" s="75"/>
      <c r="I159" s="81">
        <v>0.0</v>
      </c>
      <c r="J159" s="75"/>
      <c r="K159" s="81">
        <f>1200+2500+(8360/2)</f>
        <v>7880</v>
      </c>
      <c r="L159" s="75"/>
      <c r="M159" s="81">
        <f>26000+4000+3248/2+6290/2</f>
        <v>34769</v>
      </c>
      <c r="N159" s="80"/>
      <c r="O159" s="83">
        <f t="shared" si="6"/>
        <v>53493</v>
      </c>
      <c r="P159" s="80"/>
      <c r="Q159" s="35"/>
    </row>
    <row r="160">
      <c r="A160" s="45"/>
      <c r="B160" s="45"/>
      <c r="C160" s="70"/>
      <c r="D160" s="77" t="s">
        <v>32</v>
      </c>
      <c r="E160" s="81">
        <v>6000.0</v>
      </c>
      <c r="F160" s="75"/>
      <c r="G160" s="81">
        <v>0.0</v>
      </c>
      <c r="H160" s="75"/>
      <c r="I160" s="81">
        <f>(4000+1190+9600+1190)</f>
        <v>15980</v>
      </c>
      <c r="J160" s="75"/>
      <c r="K160" s="81">
        <f>1200+6442.86+11456.28+14334</f>
        <v>33433.14</v>
      </c>
      <c r="L160" s="75"/>
      <c r="M160" s="81">
        <v>0.0</v>
      </c>
      <c r="N160" s="80"/>
      <c r="O160" s="83">
        <f t="shared" si="6"/>
        <v>55413.14</v>
      </c>
      <c r="P160" s="80"/>
      <c r="Q160" s="35"/>
    </row>
    <row r="161">
      <c r="A161" s="45"/>
      <c r="B161" s="45"/>
      <c r="C161" s="70"/>
      <c r="D161" s="77" t="s">
        <v>33</v>
      </c>
      <c r="E161" s="81">
        <v>0.0</v>
      </c>
      <c r="F161" s="75"/>
      <c r="G161" s="79">
        <v>23925.0</v>
      </c>
      <c r="H161" s="75"/>
      <c r="I161" s="81">
        <v>0.0</v>
      </c>
      <c r="J161" s="75"/>
      <c r="K161" s="81">
        <v>0.0</v>
      </c>
      <c r="L161" s="75"/>
      <c r="M161" s="81">
        <v>0.0</v>
      </c>
      <c r="N161" s="80"/>
      <c r="O161" s="83">
        <f t="shared" si="6"/>
        <v>23925</v>
      </c>
      <c r="P161" s="80"/>
      <c r="Q161" s="35"/>
    </row>
    <row r="162">
      <c r="A162" s="45"/>
      <c r="B162" s="45"/>
      <c r="C162" s="93"/>
      <c r="D162" s="94" t="s">
        <v>34</v>
      </c>
      <c r="E162" s="95">
        <f>SUM(E163:F166)</f>
        <v>911085</v>
      </c>
      <c r="F162" s="75"/>
      <c r="G162" s="95">
        <f>SUM(G163:G166)</f>
        <v>20000</v>
      </c>
      <c r="H162" s="75"/>
      <c r="I162" s="95">
        <f>SUM(I163:I166)</f>
        <v>0</v>
      </c>
      <c r="J162" s="75"/>
      <c r="K162" s="95">
        <f>SUM(K163:K166)</f>
        <v>0</v>
      </c>
      <c r="L162" s="75"/>
      <c r="M162" s="95">
        <f>SUM(M163:M166)</f>
        <v>0</v>
      </c>
      <c r="N162" s="93"/>
      <c r="O162" s="95">
        <f t="shared" si="6"/>
        <v>931085</v>
      </c>
      <c r="P162" s="93"/>
      <c r="Q162" s="35"/>
    </row>
    <row r="163">
      <c r="A163" s="45"/>
      <c r="B163" s="45"/>
      <c r="C163" s="98"/>
      <c r="D163" s="77" t="s">
        <v>35</v>
      </c>
      <c r="E163" s="100">
        <v>911085.0</v>
      </c>
      <c r="F163" s="75"/>
      <c r="G163" s="81">
        <v>0.0</v>
      </c>
      <c r="H163" s="75"/>
      <c r="I163" s="81"/>
      <c r="J163" s="83">
        <v>0.0</v>
      </c>
      <c r="K163" s="83">
        <v>0.0</v>
      </c>
      <c r="L163" s="75"/>
      <c r="M163" s="83">
        <v>0.0</v>
      </c>
      <c r="N163" s="80"/>
      <c r="O163" s="83">
        <f t="shared" si="6"/>
        <v>911085</v>
      </c>
      <c r="P163" s="80"/>
      <c r="Q163" s="35"/>
    </row>
    <row r="164">
      <c r="A164" s="45"/>
      <c r="B164" s="45"/>
      <c r="C164" s="98"/>
      <c r="D164" s="77" t="s">
        <v>36</v>
      </c>
      <c r="E164" s="81">
        <v>0.0</v>
      </c>
      <c r="F164" s="75"/>
      <c r="G164" s="102"/>
      <c r="H164" s="83">
        <v>0.0</v>
      </c>
      <c r="I164" s="102"/>
      <c r="J164" s="83">
        <v>0.0</v>
      </c>
      <c r="K164" s="102"/>
      <c r="L164" s="83">
        <v>0.0</v>
      </c>
      <c r="M164" s="83">
        <v>0.0</v>
      </c>
      <c r="N164" s="80"/>
      <c r="O164" s="83">
        <f t="shared" si="6"/>
        <v>0</v>
      </c>
      <c r="P164" s="80"/>
      <c r="Q164" s="35"/>
    </row>
    <row r="165">
      <c r="A165" s="45"/>
      <c r="B165" s="45"/>
      <c r="C165" s="98"/>
      <c r="D165" s="77" t="s">
        <v>37</v>
      </c>
      <c r="E165" s="83">
        <v>0.0</v>
      </c>
      <c r="F165" s="75"/>
      <c r="G165" s="83">
        <v>0.0</v>
      </c>
      <c r="H165" s="75"/>
      <c r="I165" s="83">
        <v>0.0</v>
      </c>
      <c r="J165" s="75"/>
      <c r="K165" s="83">
        <v>0.0</v>
      </c>
      <c r="L165" s="75"/>
      <c r="M165" s="83">
        <v>0.0</v>
      </c>
      <c r="N165" s="80"/>
      <c r="O165" s="83">
        <f t="shared" si="6"/>
        <v>0</v>
      </c>
      <c r="P165" s="80"/>
      <c r="Q165" s="35"/>
    </row>
    <row r="166">
      <c r="A166" s="45"/>
      <c r="B166" s="45"/>
      <c r="C166" s="109"/>
      <c r="D166" s="110" t="s">
        <v>33</v>
      </c>
      <c r="E166" s="113">
        <v>0.0</v>
      </c>
      <c r="F166" s="112"/>
      <c r="G166" s="113">
        <v>20000.0</v>
      </c>
      <c r="H166" s="112"/>
      <c r="I166" s="113">
        <v>0.0</v>
      </c>
      <c r="J166" s="112"/>
      <c r="K166" s="113">
        <v>0.0</v>
      </c>
      <c r="L166" s="112"/>
      <c r="M166" s="111">
        <v>0.0</v>
      </c>
      <c r="N166" s="114"/>
      <c r="O166" s="111">
        <f t="shared" si="6"/>
        <v>20000</v>
      </c>
      <c r="P166" s="114"/>
      <c r="Q166" s="35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6"/>
      <c r="O168" s="116"/>
      <c r="P168" s="116"/>
      <c r="Q168" s="19"/>
    </row>
    <row r="169">
      <c r="A169" s="10"/>
      <c r="B169" s="12"/>
      <c r="C169" s="13"/>
      <c r="D169" s="13"/>
      <c r="E169" s="13"/>
      <c r="F169" s="5"/>
      <c r="G169" s="5"/>
      <c r="H169" s="3" t="str">
        <f t="array" ref="H169">(INDIRECT("I" &amp; ROW() + 1)/INDIRECT("E" &amp; ROW() + 1))</f>
        <v>#DIV/0!</v>
      </c>
      <c r="I169" s="7"/>
      <c r="J169" s="5"/>
      <c r="K169" s="7"/>
      <c r="L169" s="4">
        <f t="array" ref="L169">(1 - INDIRECT("I" &amp; ROW()))</f>
        <v>1</v>
      </c>
      <c r="M169" s="5"/>
      <c r="N169" s="5"/>
      <c r="O169" s="5"/>
      <c r="P169" s="5"/>
      <c r="Q169" s="5"/>
    </row>
    <row r="170">
      <c r="A170" s="21"/>
      <c r="B170" s="22"/>
      <c r="C170" s="13"/>
      <c r="D170" s="24">
        <f>O190</f>
        <v>1050225</v>
      </c>
      <c r="F170" s="5"/>
      <c r="H170" s="27">
        <f>O175</f>
        <v>714377</v>
      </c>
      <c r="J170" s="5"/>
      <c r="K170" s="32">
        <f>D170-H170</f>
        <v>335848</v>
      </c>
      <c r="M170" s="123">
        <v>1.0</v>
      </c>
      <c r="O170" s="5"/>
      <c r="P170" s="5"/>
      <c r="Q170" s="5"/>
    </row>
    <row r="171">
      <c r="A171" s="37"/>
      <c r="B171" s="37"/>
      <c r="C171" s="40" t="s">
        <v>1</v>
      </c>
      <c r="D171" s="42"/>
      <c r="E171" s="42"/>
      <c r="F171" s="42"/>
      <c r="G171" s="42"/>
      <c r="H171" s="40" t="s">
        <v>2</v>
      </c>
      <c r="I171" s="42"/>
      <c r="J171" s="18"/>
      <c r="K171" s="40" t="s">
        <v>3</v>
      </c>
      <c r="L171" s="42"/>
      <c r="M171" s="44" t="s">
        <v>14</v>
      </c>
      <c r="N171" s="42"/>
      <c r="O171" s="18"/>
      <c r="P171" s="18"/>
      <c r="Q171" s="18"/>
    </row>
    <row r="172">
      <c r="A172" s="19"/>
      <c r="B172" s="19"/>
      <c r="C172" s="19"/>
      <c r="D172" s="19"/>
      <c r="E172" s="19" t="s">
        <v>4</v>
      </c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>
      <c r="A173" s="45"/>
      <c r="B173" s="45"/>
      <c r="C173" s="198" t="s">
        <v>57</v>
      </c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9"/>
    </row>
    <row r="174">
      <c r="A174" s="45"/>
      <c r="B174" s="45"/>
      <c r="C174" s="29"/>
      <c r="D174" s="54" t="s">
        <v>6</v>
      </c>
      <c r="E174" s="57" t="s">
        <v>15</v>
      </c>
      <c r="G174" s="57" t="s">
        <v>16</v>
      </c>
      <c r="I174" s="57" t="s">
        <v>17</v>
      </c>
      <c r="K174" s="57" t="s">
        <v>18</v>
      </c>
      <c r="M174" s="57" t="s">
        <v>19</v>
      </c>
      <c r="N174" s="29"/>
      <c r="O174" s="57" t="s">
        <v>12</v>
      </c>
      <c r="P174" s="29"/>
      <c r="Q174" s="35"/>
    </row>
    <row r="175">
      <c r="A175" s="45"/>
      <c r="B175" s="45"/>
      <c r="C175" s="55"/>
      <c r="D175" s="64" t="s">
        <v>13</v>
      </c>
      <c r="E175" s="67">
        <f>SUM(E176:F189)</f>
        <v>35666</v>
      </c>
      <c r="F175" s="62"/>
      <c r="G175" s="67">
        <f>SUM(G176:H189)</f>
        <v>207661</v>
      </c>
      <c r="H175" s="62"/>
      <c r="I175" s="67">
        <f>SUM(I176:J189)</f>
        <v>274351</v>
      </c>
      <c r="J175" s="62"/>
      <c r="K175" s="67">
        <f>SUM(K176:L189)</f>
        <v>150010</v>
      </c>
      <c r="L175" s="62"/>
      <c r="M175" s="67">
        <f>SUM(M176:M189)</f>
        <v>46689</v>
      </c>
      <c r="N175" s="72"/>
      <c r="O175" s="67">
        <f t="shared" ref="O175:O194" si="7">SUM(E175:N175)</f>
        <v>714377</v>
      </c>
      <c r="P175" s="72"/>
      <c r="Q175" s="35"/>
    </row>
    <row r="176">
      <c r="A176" s="45"/>
      <c r="B176" s="45"/>
      <c r="C176" s="70"/>
      <c r="D176" s="77" t="s">
        <v>20</v>
      </c>
      <c r="E176" s="79">
        <v>0.0</v>
      </c>
      <c r="F176" s="75"/>
      <c r="G176" s="81">
        <v>0.0</v>
      </c>
      <c r="H176" s="75"/>
      <c r="I176" s="81">
        <v>201646.0</v>
      </c>
      <c r="J176" s="75"/>
      <c r="K176" s="81">
        <v>0.0</v>
      </c>
      <c r="L176" s="75"/>
      <c r="M176" s="81">
        <v>0.0</v>
      </c>
      <c r="N176" s="80"/>
      <c r="O176" s="83">
        <f t="shared" si="7"/>
        <v>201646</v>
      </c>
      <c r="P176" s="80"/>
      <c r="Q176" s="35"/>
    </row>
    <row r="177">
      <c r="A177" s="45"/>
      <c r="B177" s="45"/>
      <c r="C177" s="70"/>
      <c r="D177" s="77" t="s">
        <v>21</v>
      </c>
      <c r="E177" s="81">
        <f>1099+4130+1198+4722</f>
        <v>11149</v>
      </c>
      <c r="F177" s="75"/>
      <c r="G177" s="79">
        <f>6337+1468+5544+719+1398+418</f>
        <v>15884</v>
      </c>
      <c r="H177" s="75"/>
      <c r="I177" s="81">
        <f>6883+3120+4882+1398+999+5620</f>
        <v>22902</v>
      </c>
      <c r="J177" s="75"/>
      <c r="K177" s="81">
        <f>3825+1068+8695+3410+9726</f>
        <v>26724</v>
      </c>
      <c r="L177" s="75"/>
      <c r="M177" s="81">
        <f>7156+1946</f>
        <v>9102</v>
      </c>
      <c r="N177" s="80"/>
      <c r="O177" s="83">
        <f t="shared" si="7"/>
        <v>85761</v>
      </c>
      <c r="P177" s="80"/>
      <c r="Q177" s="35"/>
    </row>
    <row r="178">
      <c r="A178" s="45"/>
      <c r="B178" s="45"/>
      <c r="C178" s="70"/>
      <c r="D178" s="87" t="s">
        <v>22</v>
      </c>
      <c r="E178" s="81">
        <f>1398+1000</f>
        <v>2398</v>
      </c>
      <c r="F178" s="75"/>
      <c r="G178" s="81">
        <v>3298.0</v>
      </c>
      <c r="H178" s="75"/>
      <c r="I178" s="81">
        <v>0.0</v>
      </c>
      <c r="J178" s="75"/>
      <c r="K178" s="81">
        <f>1280+3900</f>
        <v>5180</v>
      </c>
      <c r="L178" s="75"/>
      <c r="M178" s="81">
        <f>2828+1249</f>
        <v>4077</v>
      </c>
      <c r="N178" s="80"/>
      <c r="O178" s="83">
        <f t="shared" si="7"/>
        <v>14953</v>
      </c>
      <c r="P178" s="80"/>
      <c r="Q178" s="35"/>
    </row>
    <row r="179">
      <c r="A179" s="45"/>
      <c r="B179" s="45"/>
      <c r="C179" s="70"/>
      <c r="D179" s="87" t="s">
        <v>23</v>
      </c>
      <c r="E179" s="81">
        <v>0.0</v>
      </c>
      <c r="F179" s="75"/>
      <c r="G179" s="81">
        <v>3039.0</v>
      </c>
      <c r="H179" s="75"/>
      <c r="I179" s="79">
        <v>3290.0</v>
      </c>
      <c r="J179" s="75"/>
      <c r="K179" s="81">
        <f>4659+2800+3039+3248</f>
        <v>13746</v>
      </c>
      <c r="L179" s="75"/>
      <c r="M179" s="81">
        <v>1990.0</v>
      </c>
      <c r="N179" s="80"/>
      <c r="O179" s="83">
        <f t="shared" si="7"/>
        <v>22065</v>
      </c>
      <c r="P179" s="80"/>
      <c r="Q179" s="35"/>
    </row>
    <row r="180">
      <c r="A180" s="45"/>
      <c r="B180" s="45"/>
      <c r="C180" s="70"/>
      <c r="D180" s="77" t="s">
        <v>24</v>
      </c>
      <c r="E180" s="81">
        <f>1400+800+1400</f>
        <v>3600</v>
      </c>
      <c r="F180" s="75"/>
      <c r="G180" s="81">
        <f>1500+1500</f>
        <v>3000</v>
      </c>
      <c r="H180" s="75"/>
      <c r="I180" s="81">
        <f>1500+1500</f>
        <v>3000</v>
      </c>
      <c r="J180" s="75"/>
      <c r="K180" s="81">
        <f>2500+890</f>
        <v>3390</v>
      </c>
      <c r="L180" s="75"/>
      <c r="M180" s="81">
        <f>1400+750+850</f>
        <v>3000</v>
      </c>
      <c r="N180" s="80"/>
      <c r="O180" s="83">
        <f t="shared" si="7"/>
        <v>15990</v>
      </c>
      <c r="P180" s="80"/>
      <c r="Q180" s="35"/>
    </row>
    <row r="181">
      <c r="A181" s="45"/>
      <c r="B181" s="45"/>
      <c r="C181" s="70"/>
      <c r="D181" s="77" t="s">
        <v>25</v>
      </c>
      <c r="E181" s="81">
        <v>0.0</v>
      </c>
      <c r="F181" s="75"/>
      <c r="G181" s="79">
        <v>0.0</v>
      </c>
      <c r="H181" s="75"/>
      <c r="I181" s="81">
        <v>0.0</v>
      </c>
      <c r="J181" s="75"/>
      <c r="K181" s="81">
        <v>0.0</v>
      </c>
      <c r="L181" s="75"/>
      <c r="M181" s="81">
        <v>0.0</v>
      </c>
      <c r="N181" s="80"/>
      <c r="O181" s="83">
        <f t="shared" si="7"/>
        <v>0</v>
      </c>
      <c r="P181" s="80"/>
      <c r="Q181" s="35"/>
    </row>
    <row r="182">
      <c r="A182" s="45"/>
      <c r="B182" s="45"/>
      <c r="C182" s="70"/>
      <c r="D182" s="77" t="s">
        <v>26</v>
      </c>
      <c r="E182" s="81">
        <f>14000+874</f>
        <v>14874</v>
      </c>
      <c r="F182" s="75"/>
      <c r="G182" s="81">
        <v>55880.0</v>
      </c>
      <c r="H182" s="75"/>
      <c r="I182" s="79">
        <v>0.0</v>
      </c>
      <c r="J182" s="75"/>
      <c r="K182" s="81">
        <v>0.0</v>
      </c>
      <c r="L182" s="75"/>
      <c r="M182" s="81">
        <v>0.0</v>
      </c>
      <c r="N182" s="80"/>
      <c r="O182" s="83">
        <f t="shared" si="7"/>
        <v>70754</v>
      </c>
      <c r="P182" s="80"/>
      <c r="Q182" s="35"/>
    </row>
    <row r="183">
      <c r="A183" s="45"/>
      <c r="B183" s="45"/>
      <c r="C183" s="70"/>
      <c r="D183" s="77" t="s">
        <v>27</v>
      </c>
      <c r="E183" s="81">
        <v>0.0</v>
      </c>
      <c r="F183" s="75"/>
      <c r="G183" s="81">
        <v>10000.0</v>
      </c>
      <c r="H183" s="75"/>
      <c r="I183" s="81">
        <v>0.0</v>
      </c>
      <c r="J183" s="75"/>
      <c r="K183" s="81">
        <v>11400.0</v>
      </c>
      <c r="L183" s="75"/>
      <c r="M183" s="81">
        <v>26220.0</v>
      </c>
      <c r="N183" s="80"/>
      <c r="O183" s="83">
        <f t="shared" si="7"/>
        <v>47620</v>
      </c>
      <c r="P183" s="80"/>
      <c r="Q183" s="35"/>
    </row>
    <row r="184">
      <c r="A184" s="45"/>
      <c r="B184" s="45"/>
      <c r="C184" s="70"/>
      <c r="D184" s="77" t="s">
        <v>28</v>
      </c>
      <c r="E184" s="83">
        <v>0.0</v>
      </c>
      <c r="F184" s="75"/>
      <c r="G184" s="81">
        <v>0.0</v>
      </c>
      <c r="H184" s="75"/>
      <c r="I184" s="81">
        <f>1800+21000+2000</f>
        <v>24800</v>
      </c>
      <c r="J184" s="75"/>
      <c r="K184" s="81">
        <f>33980+7400+34090</f>
        <v>75470</v>
      </c>
      <c r="L184" s="75"/>
      <c r="M184" s="79">
        <v>0.0</v>
      </c>
      <c r="N184" s="80"/>
      <c r="O184" s="83">
        <f t="shared" si="7"/>
        <v>100270</v>
      </c>
      <c r="P184" s="80"/>
      <c r="Q184" s="35"/>
    </row>
    <row r="185">
      <c r="A185" s="45"/>
      <c r="B185" s="45"/>
      <c r="C185" s="70"/>
      <c r="D185" s="77" t="s">
        <v>29</v>
      </c>
      <c r="E185" s="79">
        <v>0.0</v>
      </c>
      <c r="F185" s="75"/>
      <c r="G185" s="81">
        <v>0.0</v>
      </c>
      <c r="H185" s="75"/>
      <c r="I185" s="81">
        <f>450+8950</f>
        <v>9400</v>
      </c>
      <c r="J185" s="75"/>
      <c r="K185" s="81">
        <v>0.0</v>
      </c>
      <c r="L185" s="75"/>
      <c r="M185" s="83">
        <v>0.0</v>
      </c>
      <c r="N185" s="80"/>
      <c r="O185" s="83">
        <f t="shared" si="7"/>
        <v>9400</v>
      </c>
      <c r="P185" s="80"/>
      <c r="Q185" s="35"/>
    </row>
    <row r="186">
      <c r="A186" s="45"/>
      <c r="B186" s="45"/>
      <c r="C186" s="70"/>
      <c r="D186" s="77" t="s">
        <v>30</v>
      </c>
      <c r="E186" s="81">
        <v>2245.0</v>
      </c>
      <c r="F186" s="75"/>
      <c r="G186" s="81">
        <v>3090.0</v>
      </c>
      <c r="H186" s="75"/>
      <c r="I186" s="81">
        <f>1790+4569</f>
        <v>6359</v>
      </c>
      <c r="J186" s="75"/>
      <c r="K186" s="81">
        <v>0.0</v>
      </c>
      <c r="L186" s="75"/>
      <c r="M186" s="81">
        <v>0.0</v>
      </c>
      <c r="N186" s="200"/>
      <c r="O186" s="83">
        <f t="shared" si="7"/>
        <v>11694</v>
      </c>
      <c r="P186" s="80"/>
      <c r="Q186" s="35"/>
    </row>
    <row r="187">
      <c r="A187" s="45"/>
      <c r="B187" s="45"/>
      <c r="C187" s="70"/>
      <c r="D187" s="89" t="s">
        <v>31</v>
      </c>
      <c r="E187" s="81">
        <v>1400.0</v>
      </c>
      <c r="F187" s="75"/>
      <c r="G187" s="81">
        <f>10000+24000</f>
        <v>34000</v>
      </c>
      <c r="H187" s="75"/>
      <c r="I187" s="81">
        <v>1754.0</v>
      </c>
      <c r="J187" s="75"/>
      <c r="K187" s="81">
        <f>2800+2500</f>
        <v>5300</v>
      </c>
      <c r="L187" s="75"/>
      <c r="M187" s="81">
        <v>750.0</v>
      </c>
      <c r="N187" s="80"/>
      <c r="O187" s="83">
        <f t="shared" si="7"/>
        <v>43204</v>
      </c>
      <c r="P187" s="80"/>
      <c r="Q187" s="35"/>
    </row>
    <row r="188">
      <c r="A188" s="45"/>
      <c r="B188" s="45"/>
      <c r="C188" s="70"/>
      <c r="D188" s="77" t="s">
        <v>32</v>
      </c>
      <c r="E188" s="81">
        <v>0.0</v>
      </c>
      <c r="F188" s="75"/>
      <c r="G188" s="81">
        <v>70967.0</v>
      </c>
      <c r="H188" s="75"/>
      <c r="I188" s="81">
        <v>1000.0</v>
      </c>
      <c r="J188" s="75"/>
      <c r="K188" s="81">
        <f>5300+3500</f>
        <v>8800</v>
      </c>
      <c r="L188" s="75"/>
      <c r="M188" s="81">
        <v>1550.0</v>
      </c>
      <c r="N188" s="80"/>
      <c r="O188" s="83">
        <f t="shared" si="7"/>
        <v>82317</v>
      </c>
      <c r="P188" s="80"/>
      <c r="Q188" s="35"/>
    </row>
    <row r="189">
      <c r="A189" s="45"/>
      <c r="B189" s="45"/>
      <c r="C189" s="70"/>
      <c r="D189" s="77" t="s">
        <v>33</v>
      </c>
      <c r="E189" s="81">
        <v>0.0</v>
      </c>
      <c r="F189" s="75"/>
      <c r="G189" s="79">
        <v>8503.0</v>
      </c>
      <c r="H189" s="75"/>
      <c r="I189" s="81">
        <v>200.0</v>
      </c>
      <c r="J189" s="75"/>
      <c r="K189" s="81">
        <v>0.0</v>
      </c>
      <c r="L189" s="75"/>
      <c r="M189" s="81">
        <v>0.0</v>
      </c>
      <c r="N189" s="80"/>
      <c r="O189" s="83">
        <f t="shared" si="7"/>
        <v>8703</v>
      </c>
      <c r="P189" s="80"/>
      <c r="Q189" s="35"/>
    </row>
    <row r="190">
      <c r="A190" s="45"/>
      <c r="B190" s="45"/>
      <c r="C190" s="93"/>
      <c r="D190" s="94" t="s">
        <v>34</v>
      </c>
      <c r="E190" s="95">
        <f>SUM(E191:F194)</f>
        <v>994335</v>
      </c>
      <c r="F190" s="75"/>
      <c r="G190" s="95">
        <f>SUM(G191:G194)</f>
        <v>25890</v>
      </c>
      <c r="H190" s="75"/>
      <c r="I190" s="95">
        <f>SUM(I191:I194)</f>
        <v>0</v>
      </c>
      <c r="J190" s="75"/>
      <c r="K190" s="95">
        <f>SUM(K191:K194)</f>
        <v>30000</v>
      </c>
      <c r="L190" s="75"/>
      <c r="M190" s="95">
        <f>SUM(M191:M194)</f>
        <v>0</v>
      </c>
      <c r="N190" s="93"/>
      <c r="O190" s="95">
        <f t="shared" si="7"/>
        <v>1050225</v>
      </c>
      <c r="P190" s="93"/>
      <c r="Q190" s="35"/>
    </row>
    <row r="191">
      <c r="A191" s="45"/>
      <c r="B191" s="45"/>
      <c r="C191" s="98"/>
      <c r="D191" s="77" t="s">
        <v>35</v>
      </c>
      <c r="E191" s="100">
        <v>994335.0</v>
      </c>
      <c r="F191" s="75"/>
      <c r="G191" s="81">
        <v>0.0</v>
      </c>
      <c r="H191" s="75"/>
      <c r="I191" s="81"/>
      <c r="J191" s="83">
        <v>0.0</v>
      </c>
      <c r="K191" s="83">
        <v>0.0</v>
      </c>
      <c r="L191" s="75"/>
      <c r="M191" s="83">
        <v>0.0</v>
      </c>
      <c r="N191" s="80"/>
      <c r="O191" s="83">
        <f t="shared" si="7"/>
        <v>994335</v>
      </c>
      <c r="P191" s="80"/>
      <c r="Q191" s="35"/>
    </row>
    <row r="192">
      <c r="A192" s="45"/>
      <c r="B192" s="45"/>
      <c r="C192" s="98"/>
      <c r="D192" s="77" t="s">
        <v>36</v>
      </c>
      <c r="E192" s="81">
        <v>0.0</v>
      </c>
      <c r="F192" s="75"/>
      <c r="G192" s="102"/>
      <c r="H192" s="83">
        <v>0.0</v>
      </c>
      <c r="I192" s="102"/>
      <c r="J192" s="83">
        <v>0.0</v>
      </c>
      <c r="K192" s="102"/>
      <c r="L192" s="83">
        <v>0.0</v>
      </c>
      <c r="M192" s="83">
        <v>0.0</v>
      </c>
      <c r="N192" s="80"/>
      <c r="O192" s="83">
        <f t="shared" si="7"/>
        <v>0</v>
      </c>
      <c r="P192" s="80"/>
      <c r="Q192" s="35"/>
    </row>
    <row r="193">
      <c r="A193" s="45"/>
      <c r="B193" s="45"/>
      <c r="C193" s="98"/>
      <c r="D193" s="77" t="s">
        <v>37</v>
      </c>
      <c r="E193" s="83">
        <v>0.0</v>
      </c>
      <c r="F193" s="75"/>
      <c r="G193" s="83">
        <v>0.0</v>
      </c>
      <c r="H193" s="75"/>
      <c r="I193" s="83">
        <v>0.0</v>
      </c>
      <c r="J193" s="75"/>
      <c r="K193" s="83">
        <v>0.0</v>
      </c>
      <c r="L193" s="75"/>
      <c r="M193" s="83">
        <v>0.0</v>
      </c>
      <c r="N193" s="80"/>
      <c r="O193" s="83">
        <f t="shared" si="7"/>
        <v>0</v>
      </c>
      <c r="P193" s="80"/>
      <c r="Q193" s="35"/>
    </row>
    <row r="194">
      <c r="A194" s="45"/>
      <c r="B194" s="45"/>
      <c r="C194" s="109"/>
      <c r="D194" s="110" t="s">
        <v>33</v>
      </c>
      <c r="E194" s="113">
        <v>0.0</v>
      </c>
      <c r="F194" s="112"/>
      <c r="G194" s="113">
        <f>20000+5890</f>
        <v>25890</v>
      </c>
      <c r="H194" s="112"/>
      <c r="I194" s="113">
        <v>0.0</v>
      </c>
      <c r="J194" s="112"/>
      <c r="K194" s="113">
        <v>30000.0</v>
      </c>
      <c r="L194" s="112"/>
      <c r="M194" s="111">
        <v>0.0</v>
      </c>
      <c r="N194" s="114"/>
      <c r="O194" s="111">
        <f t="shared" si="7"/>
        <v>55890</v>
      </c>
      <c r="P194" s="114"/>
      <c r="Q194" s="35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</row>
    <row r="196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6"/>
      <c r="O196" s="116"/>
      <c r="P196" s="116"/>
      <c r="Q196" s="19"/>
    </row>
    <row r="197">
      <c r="A197" s="10"/>
      <c r="B197" s="12"/>
      <c r="C197" s="13"/>
      <c r="D197" s="13"/>
      <c r="E197" s="13"/>
      <c r="F197" s="5"/>
      <c r="G197" s="5"/>
      <c r="H197" s="3" t="str">
        <f t="array" ref="H197">(INDIRECT("I" &amp; ROW() + 1)/INDIRECT("E" &amp; ROW() + 1))</f>
        <v>#DIV/0!</v>
      </c>
      <c r="I197" s="7"/>
      <c r="J197" s="5"/>
      <c r="K197" s="7"/>
      <c r="L197" s="4">
        <f t="array" ref="L197">(1 - INDIRECT("I" &amp; ROW()))</f>
        <v>1</v>
      </c>
      <c r="M197" s="5"/>
      <c r="N197" s="5"/>
      <c r="O197" s="5"/>
      <c r="P197" s="5"/>
      <c r="Q197" s="5"/>
    </row>
    <row r="198">
      <c r="A198" s="21"/>
      <c r="B198" s="22"/>
      <c r="C198" s="13"/>
      <c r="D198" s="24">
        <f>O218</f>
        <v>967306</v>
      </c>
      <c r="F198" s="5"/>
      <c r="H198" s="27">
        <f>O203</f>
        <v>1062998</v>
      </c>
      <c r="J198" s="5"/>
      <c r="K198" s="32">
        <f>D198-H198</f>
        <v>-95692</v>
      </c>
      <c r="M198" s="123">
        <v>1.0</v>
      </c>
      <c r="O198" s="5"/>
      <c r="P198" s="5"/>
      <c r="Q198" s="5"/>
    </row>
    <row r="199">
      <c r="A199" s="37"/>
      <c r="B199" s="37"/>
      <c r="C199" s="40" t="s">
        <v>1</v>
      </c>
      <c r="D199" s="42"/>
      <c r="E199" s="42"/>
      <c r="F199" s="42"/>
      <c r="G199" s="42"/>
      <c r="H199" s="40" t="s">
        <v>2</v>
      </c>
      <c r="I199" s="42"/>
      <c r="J199" s="18"/>
      <c r="K199" s="40" t="s">
        <v>3</v>
      </c>
      <c r="L199" s="42"/>
      <c r="M199" s="44" t="s">
        <v>14</v>
      </c>
      <c r="N199" s="42"/>
      <c r="O199" s="18"/>
      <c r="P199" s="18"/>
      <c r="Q199" s="18"/>
    </row>
    <row r="200">
      <c r="A200" s="19"/>
      <c r="B200" s="19"/>
      <c r="C200" s="19"/>
      <c r="D200" s="19"/>
      <c r="E200" s="19" t="s">
        <v>4</v>
      </c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</row>
    <row r="201">
      <c r="A201" s="45"/>
      <c r="B201" s="45"/>
      <c r="C201" s="198" t="s">
        <v>59</v>
      </c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9"/>
    </row>
    <row r="202">
      <c r="A202" s="45"/>
      <c r="B202" s="45"/>
      <c r="C202" s="29"/>
      <c r="D202" s="54" t="s">
        <v>6</v>
      </c>
      <c r="E202" s="57" t="s">
        <v>15</v>
      </c>
      <c r="G202" s="57" t="s">
        <v>16</v>
      </c>
      <c r="I202" s="57" t="s">
        <v>17</v>
      </c>
      <c r="K202" s="57" t="s">
        <v>18</v>
      </c>
      <c r="M202" s="57" t="s">
        <v>19</v>
      </c>
      <c r="N202" s="29"/>
      <c r="O202" s="57" t="s">
        <v>12</v>
      </c>
      <c r="P202" s="29"/>
      <c r="Q202" s="35"/>
    </row>
    <row r="203">
      <c r="A203" s="45"/>
      <c r="B203" s="45"/>
      <c r="C203" s="55"/>
      <c r="D203" s="64" t="s">
        <v>13</v>
      </c>
      <c r="E203" s="67">
        <f>SUM(E204:F217)</f>
        <v>104992</v>
      </c>
      <c r="F203" s="62"/>
      <c r="G203" s="67">
        <f>SUM(G204:H217)</f>
        <v>94098</v>
      </c>
      <c r="H203" s="62"/>
      <c r="I203" s="67">
        <f>SUM(I204:J217)</f>
        <v>383674</v>
      </c>
      <c r="J203" s="62"/>
      <c r="K203" s="67">
        <f>SUM(K204:L217)</f>
        <v>406064</v>
      </c>
      <c r="L203" s="62"/>
      <c r="M203" s="67">
        <f>SUM(M204:M217)</f>
        <v>74170</v>
      </c>
      <c r="N203" s="72"/>
      <c r="O203" s="67">
        <f t="shared" ref="O203:O222" si="8">SUM(E203:N203)</f>
        <v>1062998</v>
      </c>
      <c r="P203" s="72"/>
      <c r="Q203" s="35"/>
    </row>
    <row r="204">
      <c r="A204" s="45"/>
      <c r="B204" s="45"/>
      <c r="C204" s="70"/>
      <c r="D204" s="77" t="s">
        <v>20</v>
      </c>
      <c r="E204" s="79">
        <v>0.0</v>
      </c>
      <c r="F204" s="75"/>
      <c r="G204" s="81">
        <v>0.0</v>
      </c>
      <c r="H204" s="75"/>
      <c r="I204" s="81">
        <v>218606.0</v>
      </c>
      <c r="J204" s="75"/>
      <c r="K204" s="81">
        <v>0.0</v>
      </c>
      <c r="L204" s="75"/>
      <c r="M204" s="81">
        <v>0.0</v>
      </c>
      <c r="N204" s="80"/>
      <c r="O204" s="83">
        <f t="shared" si="8"/>
        <v>218606</v>
      </c>
      <c r="P204" s="80"/>
      <c r="Q204" s="35"/>
    </row>
    <row r="205">
      <c r="A205" s="45"/>
      <c r="B205" s="45"/>
      <c r="C205" s="70"/>
      <c r="D205" s="77" t="s">
        <v>21</v>
      </c>
      <c r="E205" s="81">
        <f>3175+2287+5939+3479</f>
        <v>14880</v>
      </c>
      <c r="F205" s="75"/>
      <c r="G205" s="79">
        <f>5800+389+5434+6411</f>
        <v>18034</v>
      </c>
      <c r="H205" s="75"/>
      <c r="I205" s="81">
        <f>899+7682+550+5328+3046</f>
        <v>17505</v>
      </c>
      <c r="J205" s="75"/>
      <c r="K205" s="81">
        <f>6616+3434+999</f>
        <v>11049</v>
      </c>
      <c r="L205" s="75"/>
      <c r="M205" s="81">
        <f>904+638+(16234+2900+1245+1165+640)/2</f>
        <v>12634</v>
      </c>
      <c r="N205" s="80"/>
      <c r="O205" s="83">
        <f t="shared" si="8"/>
        <v>74102</v>
      </c>
      <c r="P205" s="80"/>
      <c r="Q205" s="35"/>
    </row>
    <row r="206">
      <c r="A206" s="45"/>
      <c r="B206" s="45"/>
      <c r="C206" s="70"/>
      <c r="D206" s="87" t="s">
        <v>22</v>
      </c>
      <c r="E206" s="81">
        <f>1899+6644</f>
        <v>8543</v>
      </c>
      <c r="F206" s="75"/>
      <c r="G206" s="81">
        <f>1100+1300+360</f>
        <v>2760</v>
      </c>
      <c r="H206" s="75"/>
      <c r="I206" s="81">
        <f>80+1578+4197+598</f>
        <v>6453</v>
      </c>
      <c r="J206" s="75"/>
      <c r="K206" s="81">
        <f>558+1050</f>
        <v>1608</v>
      </c>
      <c r="L206" s="75"/>
      <c r="M206" s="81">
        <v>499.0</v>
      </c>
      <c r="N206" s="80"/>
      <c r="O206" s="83">
        <f t="shared" si="8"/>
        <v>19863</v>
      </c>
      <c r="P206" s="80"/>
      <c r="Q206" s="35"/>
    </row>
    <row r="207">
      <c r="A207" s="45"/>
      <c r="B207" s="45"/>
      <c r="C207" s="70"/>
      <c r="D207" s="87" t="s">
        <v>23</v>
      </c>
      <c r="E207" s="81">
        <v>6402.0</v>
      </c>
      <c r="F207" s="75"/>
      <c r="G207" s="81">
        <f>12557+4867</f>
        <v>17424</v>
      </c>
      <c r="H207" s="75"/>
      <c r="I207" s="79">
        <f>4430+3000+3889</f>
        <v>11319</v>
      </c>
      <c r="J207" s="75"/>
      <c r="K207" s="81">
        <v>0.0</v>
      </c>
      <c r="L207" s="75"/>
      <c r="M207" s="81">
        <f>1499+2839</f>
        <v>4338</v>
      </c>
      <c r="N207" s="80"/>
      <c r="O207" s="83">
        <f t="shared" si="8"/>
        <v>39483</v>
      </c>
      <c r="P207" s="80"/>
      <c r="Q207" s="35"/>
    </row>
    <row r="208">
      <c r="A208" s="45"/>
      <c r="B208" s="45"/>
      <c r="C208" s="70"/>
      <c r="D208" s="77" t="s">
        <v>24</v>
      </c>
      <c r="E208" s="81">
        <v>1210.0</v>
      </c>
      <c r="F208" s="75"/>
      <c r="G208" s="81">
        <f>950+990+750</f>
        <v>2690</v>
      </c>
      <c r="H208" s="75"/>
      <c r="I208" s="81">
        <f>1845</f>
        <v>1845</v>
      </c>
      <c r="J208" s="75"/>
      <c r="K208" s="81">
        <f>300+1200+950+1300+300</f>
        <v>4050</v>
      </c>
      <c r="L208" s="75"/>
      <c r="M208" s="81">
        <v>0.0</v>
      </c>
      <c r="N208" s="80"/>
      <c r="O208" s="83">
        <f t="shared" si="8"/>
        <v>9795</v>
      </c>
      <c r="P208" s="80"/>
      <c r="Q208" s="35"/>
    </row>
    <row r="209">
      <c r="A209" s="45"/>
      <c r="B209" s="45"/>
      <c r="C209" s="70"/>
      <c r="D209" s="77" t="s">
        <v>25</v>
      </c>
      <c r="E209" s="81">
        <v>0.0</v>
      </c>
      <c r="F209" s="75"/>
      <c r="G209" s="79">
        <v>0.0</v>
      </c>
      <c r="H209" s="75"/>
      <c r="I209" s="81">
        <v>0.0</v>
      </c>
      <c r="J209" s="75"/>
      <c r="K209" s="81">
        <v>0.0</v>
      </c>
      <c r="L209" s="75"/>
      <c r="M209" s="81">
        <v>0.0</v>
      </c>
      <c r="N209" s="80"/>
      <c r="O209" s="83">
        <f t="shared" si="8"/>
        <v>0</v>
      </c>
      <c r="P209" s="80"/>
      <c r="Q209" s="35"/>
    </row>
    <row r="210">
      <c r="A210" s="45"/>
      <c r="B210" s="45"/>
      <c r="C210" s="70"/>
      <c r="D210" s="77" t="s">
        <v>26</v>
      </c>
      <c r="E210" s="81">
        <v>0.0</v>
      </c>
      <c r="F210" s="75"/>
      <c r="G210" s="81">
        <v>0.0</v>
      </c>
      <c r="H210" s="75"/>
      <c r="I210" s="79">
        <v>5500.0</v>
      </c>
      <c r="J210" s="75"/>
      <c r="K210" s="81">
        <v>0.0</v>
      </c>
      <c r="L210" s="75"/>
      <c r="M210" s="81">
        <v>5500.0</v>
      </c>
      <c r="N210" s="80"/>
      <c r="O210" s="83">
        <f t="shared" si="8"/>
        <v>11000</v>
      </c>
      <c r="P210" s="80"/>
      <c r="Q210" s="35"/>
    </row>
    <row r="211">
      <c r="A211" s="45"/>
      <c r="B211" s="45"/>
      <c r="C211" s="70"/>
      <c r="D211" s="77" t="s">
        <v>27</v>
      </c>
      <c r="E211" s="81">
        <v>0.0</v>
      </c>
      <c r="F211" s="75"/>
      <c r="G211" s="81">
        <v>0.0</v>
      </c>
      <c r="H211" s="75"/>
      <c r="I211" s="81">
        <v>5700.0</v>
      </c>
      <c r="J211" s="75"/>
      <c r="K211" s="81">
        <v>0.0</v>
      </c>
      <c r="L211" s="75"/>
      <c r="M211" s="81">
        <v>0.0</v>
      </c>
      <c r="N211" s="80"/>
      <c r="O211" s="83">
        <f t="shared" si="8"/>
        <v>5700</v>
      </c>
      <c r="P211" s="80"/>
      <c r="Q211" s="35"/>
    </row>
    <row r="212">
      <c r="A212" s="45"/>
      <c r="B212" s="45"/>
      <c r="C212" s="70"/>
      <c r="D212" s="77" t="s">
        <v>28</v>
      </c>
      <c r="E212" s="83">
        <v>0.0</v>
      </c>
      <c r="F212" s="75"/>
      <c r="G212" s="81">
        <v>0.0</v>
      </c>
      <c r="H212" s="75"/>
      <c r="I212" s="81">
        <v>0.0</v>
      </c>
      <c r="J212" s="75"/>
      <c r="K212" s="81">
        <f>2200+990+3330+8665+1105+12699+1640+1465+28027+2773+14153+1855+2952+1671+9857+1994+3182+2059+37383+4005</f>
        <v>142005</v>
      </c>
      <c r="L212" s="75"/>
      <c r="M212" s="79">
        <v>11395.0</v>
      </c>
      <c r="N212" s="80"/>
      <c r="O212" s="83">
        <f t="shared" si="8"/>
        <v>153400</v>
      </c>
      <c r="P212" s="80"/>
      <c r="Q212" s="35"/>
    </row>
    <row r="213">
      <c r="A213" s="45"/>
      <c r="B213" s="45"/>
      <c r="C213" s="70"/>
      <c r="D213" s="77" t="s">
        <v>29</v>
      </c>
      <c r="E213" s="79">
        <v>1000.0</v>
      </c>
      <c r="F213" s="75"/>
      <c r="G213" s="81">
        <v>8950.0</v>
      </c>
      <c r="H213" s="75"/>
      <c r="I213" s="81">
        <v>0.0</v>
      </c>
      <c r="J213" s="75"/>
      <c r="K213" s="81">
        <v>0.0</v>
      </c>
      <c r="L213" s="75"/>
      <c r="M213" s="83">
        <v>0.0</v>
      </c>
      <c r="N213" s="80"/>
      <c r="O213" s="83">
        <f t="shared" si="8"/>
        <v>9950</v>
      </c>
      <c r="P213" s="80"/>
      <c r="Q213" s="35"/>
    </row>
    <row r="214">
      <c r="A214" s="45"/>
      <c r="B214" s="45"/>
      <c r="C214" s="70"/>
      <c r="D214" s="77" t="s">
        <v>30</v>
      </c>
      <c r="E214" s="81">
        <v>2245.0</v>
      </c>
      <c r="F214" s="75"/>
      <c r="G214" s="81">
        <v>3596.0</v>
      </c>
      <c r="H214" s="75"/>
      <c r="I214" s="81">
        <v>0.0</v>
      </c>
      <c r="J214" s="75"/>
      <c r="K214" s="81">
        <v>0.0</v>
      </c>
      <c r="L214" s="75"/>
      <c r="M214" s="81">
        <v>0.0</v>
      </c>
      <c r="N214" s="200"/>
      <c r="O214" s="83">
        <f t="shared" si="8"/>
        <v>5841</v>
      </c>
      <c r="P214" s="80"/>
      <c r="Q214" s="35"/>
    </row>
    <row r="215">
      <c r="A215" s="45"/>
      <c r="B215" s="45"/>
      <c r="C215" s="70"/>
      <c r="D215" s="89" t="s">
        <v>31</v>
      </c>
      <c r="E215" s="81">
        <f>23816+28411+3000+1210</f>
        <v>56437</v>
      </c>
      <c r="F215" s="75"/>
      <c r="G215" s="81">
        <f>990+770+2500+750</f>
        <v>5010</v>
      </c>
      <c r="H215" s="75"/>
      <c r="I215" s="81">
        <f>1965+1845+2180</f>
        <v>5990</v>
      </c>
      <c r="J215" s="75"/>
      <c r="K215" s="81">
        <v>1230.0</v>
      </c>
      <c r="L215" s="75"/>
      <c r="M215" s="81">
        <v>39804.0</v>
      </c>
      <c r="N215" s="80"/>
      <c r="O215" s="83">
        <f t="shared" si="8"/>
        <v>108471</v>
      </c>
      <c r="P215" s="80"/>
      <c r="Q215" s="35"/>
    </row>
    <row r="216">
      <c r="A216" s="45"/>
      <c r="B216" s="45"/>
      <c r="C216" s="70"/>
      <c r="D216" s="77" t="s">
        <v>32</v>
      </c>
      <c r="E216" s="81">
        <v>0.0</v>
      </c>
      <c r="F216" s="75"/>
      <c r="G216" s="81">
        <f>4990+4090+4914+3990+1250+1100+4000</f>
        <v>24334</v>
      </c>
      <c r="H216" s="75"/>
      <c r="I216" s="81">
        <v>0.0</v>
      </c>
      <c r="J216" s="75"/>
      <c r="K216" s="81">
        <v>1200.0</v>
      </c>
      <c r="L216" s="75"/>
      <c r="M216" s="81">
        <v>0.0</v>
      </c>
      <c r="N216" s="80"/>
      <c r="O216" s="83">
        <f t="shared" si="8"/>
        <v>25534</v>
      </c>
      <c r="P216" s="80"/>
      <c r="Q216" s="35"/>
    </row>
    <row r="217">
      <c r="A217" s="45"/>
      <c r="B217" s="45"/>
      <c r="C217" s="70"/>
      <c r="D217" s="77" t="s">
        <v>33</v>
      </c>
      <c r="E217" s="81">
        <f>6380+7895</f>
        <v>14275</v>
      </c>
      <c r="F217" s="75"/>
      <c r="G217" s="79">
        <f>4300+7000</f>
        <v>11300</v>
      </c>
      <c r="H217" s="75"/>
      <c r="I217" s="81">
        <v>110756.0</v>
      </c>
      <c r="J217" s="75"/>
      <c r="K217" s="81">
        <v>244922.0</v>
      </c>
      <c r="L217" s="75"/>
      <c r="M217" s="81">
        <v>0.0</v>
      </c>
      <c r="N217" s="80"/>
      <c r="O217" s="83">
        <f t="shared" si="8"/>
        <v>381253</v>
      </c>
      <c r="P217" s="80"/>
      <c r="Q217" s="35"/>
    </row>
    <row r="218">
      <c r="A218" s="45"/>
      <c r="B218" s="45"/>
      <c r="C218" s="93"/>
      <c r="D218" s="94" t="s">
        <v>34</v>
      </c>
      <c r="E218" s="95">
        <f>SUM(E219:F222)</f>
        <v>964335</v>
      </c>
      <c r="F218" s="75"/>
      <c r="G218" s="95">
        <f>SUM(G219:G222)</f>
        <v>2971</v>
      </c>
      <c r="H218" s="75"/>
      <c r="I218" s="95">
        <f>SUM(I219:I222)</f>
        <v>0</v>
      </c>
      <c r="J218" s="75"/>
      <c r="K218" s="95">
        <f>SUM(K219:K222)</f>
        <v>0</v>
      </c>
      <c r="L218" s="75"/>
      <c r="M218" s="95">
        <f>SUM(M219:M222)</f>
        <v>0</v>
      </c>
      <c r="N218" s="93"/>
      <c r="O218" s="95">
        <f t="shared" si="8"/>
        <v>967306</v>
      </c>
      <c r="P218" s="93"/>
      <c r="Q218" s="35"/>
    </row>
    <row r="219">
      <c r="A219" s="45"/>
      <c r="B219" s="45"/>
      <c r="C219" s="98"/>
      <c r="D219" s="77" t="s">
        <v>35</v>
      </c>
      <c r="E219" s="100">
        <v>944335.0</v>
      </c>
      <c r="F219" s="75"/>
      <c r="G219" s="81">
        <v>0.0</v>
      </c>
      <c r="H219" s="75"/>
      <c r="I219" s="81"/>
      <c r="J219" s="83">
        <v>0.0</v>
      </c>
      <c r="K219" s="83">
        <v>0.0</v>
      </c>
      <c r="L219" s="75"/>
      <c r="M219" s="83">
        <v>0.0</v>
      </c>
      <c r="N219" s="80"/>
      <c r="O219" s="83">
        <f t="shared" si="8"/>
        <v>944335</v>
      </c>
      <c r="P219" s="80"/>
      <c r="Q219" s="35"/>
    </row>
    <row r="220">
      <c r="A220" s="45"/>
      <c r="B220" s="45"/>
      <c r="C220" s="98"/>
      <c r="D220" s="77" t="s">
        <v>36</v>
      </c>
      <c r="E220" s="81">
        <v>0.0</v>
      </c>
      <c r="F220" s="75"/>
      <c r="G220" s="102"/>
      <c r="H220" s="83">
        <v>0.0</v>
      </c>
      <c r="I220" s="102"/>
      <c r="J220" s="83">
        <v>0.0</v>
      </c>
      <c r="K220" s="102"/>
      <c r="L220" s="83">
        <v>0.0</v>
      </c>
      <c r="M220" s="83">
        <v>0.0</v>
      </c>
      <c r="N220" s="80"/>
      <c r="O220" s="83">
        <f t="shared" si="8"/>
        <v>0</v>
      </c>
      <c r="P220" s="80"/>
      <c r="Q220" s="35"/>
    </row>
    <row r="221">
      <c r="A221" s="45"/>
      <c r="B221" s="45"/>
      <c r="C221" s="98"/>
      <c r="D221" s="77" t="s">
        <v>37</v>
      </c>
      <c r="E221" s="83">
        <v>0.0</v>
      </c>
      <c r="F221" s="75"/>
      <c r="G221" s="83">
        <v>0.0</v>
      </c>
      <c r="H221" s="75"/>
      <c r="I221" s="83">
        <v>0.0</v>
      </c>
      <c r="J221" s="75"/>
      <c r="K221" s="83">
        <v>0.0</v>
      </c>
      <c r="L221" s="75"/>
      <c r="M221" s="83">
        <v>0.0</v>
      </c>
      <c r="N221" s="80"/>
      <c r="O221" s="83">
        <f t="shared" si="8"/>
        <v>0</v>
      </c>
      <c r="P221" s="80"/>
      <c r="Q221" s="35"/>
    </row>
    <row r="222">
      <c r="A222" s="45"/>
      <c r="B222" s="45"/>
      <c r="C222" s="109"/>
      <c r="D222" s="110" t="s">
        <v>33</v>
      </c>
      <c r="E222" s="113">
        <v>20000.0</v>
      </c>
      <c r="F222" s="112"/>
      <c r="G222" s="113">
        <v>2971.0</v>
      </c>
      <c r="H222" s="112"/>
      <c r="I222" s="113">
        <v>0.0</v>
      </c>
      <c r="J222" s="112"/>
      <c r="K222" s="113">
        <v>0.0</v>
      </c>
      <c r="L222" s="112"/>
      <c r="M222" s="111">
        <v>0.0</v>
      </c>
      <c r="N222" s="114"/>
      <c r="O222" s="111">
        <f t="shared" si="8"/>
        <v>22971</v>
      </c>
      <c r="P222" s="114"/>
      <c r="Q222" s="35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</row>
    <row r="224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</row>
    <row r="225">
      <c r="A225" s="10"/>
      <c r="B225" s="12"/>
      <c r="C225" s="13"/>
      <c r="D225" s="13"/>
      <c r="E225" s="13"/>
      <c r="F225" s="5"/>
      <c r="G225" s="5"/>
      <c r="H225" s="3" t="str">
        <f t="array" ref="H225">(INDIRECT("I" &amp; ROW() + 1)/INDIRECT("D" &amp; ROW() + 1))</f>
        <v>#DIV/0!</v>
      </c>
      <c r="J225" s="5"/>
      <c r="K225" s="4">
        <f t="array" ref="K225">(1 - INDIRECT("I" &amp; ROW()))</f>
        <v>1</v>
      </c>
      <c r="M225" s="5"/>
      <c r="N225" s="5"/>
      <c r="O225" s="5"/>
      <c r="P225" s="5"/>
      <c r="Q225" s="5"/>
    </row>
    <row r="226">
      <c r="A226" s="21"/>
      <c r="B226" s="22"/>
      <c r="C226" s="24">
        <f>O246</f>
        <v>1259335</v>
      </c>
      <c r="F226" s="5"/>
      <c r="H226" s="27">
        <f>O231</f>
        <v>847281.01</v>
      </c>
      <c r="J226" s="5"/>
      <c r="K226" s="32">
        <f>C226-H226</f>
        <v>412053.99</v>
      </c>
      <c r="M226" s="123">
        <v>1.0</v>
      </c>
      <c r="O226" s="5"/>
      <c r="P226" s="5"/>
      <c r="Q226" s="5"/>
    </row>
    <row r="227">
      <c r="A227" s="37"/>
      <c r="B227" s="37"/>
      <c r="C227" s="40" t="s">
        <v>1</v>
      </c>
      <c r="D227" s="42"/>
      <c r="E227" s="42"/>
      <c r="F227" s="42"/>
      <c r="G227" s="42"/>
      <c r="H227" s="40" t="s">
        <v>2</v>
      </c>
      <c r="I227" s="42"/>
      <c r="J227" s="18"/>
      <c r="K227" s="40" t="s">
        <v>3</v>
      </c>
      <c r="L227" s="42"/>
      <c r="M227" s="44" t="s">
        <v>14</v>
      </c>
      <c r="N227" s="42"/>
      <c r="O227" s="18"/>
      <c r="P227" s="18"/>
      <c r="Q227" s="18"/>
    </row>
    <row r="228">
      <c r="A228" s="19"/>
      <c r="B228" s="19"/>
      <c r="C228" s="19"/>
      <c r="D228" s="19"/>
      <c r="E228" s="19" t="s">
        <v>4</v>
      </c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</row>
    <row r="229">
      <c r="A229" s="45"/>
      <c r="B229" s="45"/>
      <c r="C229" s="198" t="s">
        <v>60</v>
      </c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9"/>
    </row>
    <row r="230">
      <c r="A230" s="45"/>
      <c r="B230" s="45"/>
      <c r="C230" s="29"/>
      <c r="D230" s="54" t="s">
        <v>6</v>
      </c>
      <c r="E230" s="57" t="s">
        <v>15</v>
      </c>
      <c r="G230" s="57" t="s">
        <v>16</v>
      </c>
      <c r="I230" s="57" t="s">
        <v>17</v>
      </c>
      <c r="K230" s="57" t="s">
        <v>18</v>
      </c>
      <c r="M230" s="57" t="s">
        <v>19</v>
      </c>
      <c r="N230" s="29"/>
      <c r="O230" s="57" t="s">
        <v>12</v>
      </c>
      <c r="P230" s="29"/>
      <c r="Q230" s="35"/>
    </row>
    <row r="231">
      <c r="A231" s="45"/>
      <c r="B231" s="45"/>
      <c r="C231" s="55"/>
      <c r="D231" s="64" t="s">
        <v>13</v>
      </c>
      <c r="E231" s="67">
        <f>SUM(E232:F245)</f>
        <v>68475</v>
      </c>
      <c r="F231" s="62"/>
      <c r="G231" s="67">
        <f>SUM(G232:H245)</f>
        <v>416929</v>
      </c>
      <c r="H231" s="62"/>
      <c r="I231" s="67">
        <f>SUM(I232:J245)</f>
        <v>36068.76</v>
      </c>
      <c r="J231" s="62"/>
      <c r="K231" s="67">
        <f>SUM(K232:L245)</f>
        <v>273759.25</v>
      </c>
      <c r="L231" s="62"/>
      <c r="M231" s="67">
        <f>SUM(M232:M245)</f>
        <v>52049</v>
      </c>
      <c r="N231" s="72"/>
      <c r="O231" s="67">
        <f t="shared" ref="O231:O250" si="9">SUM(E231:N231)</f>
        <v>847281.01</v>
      </c>
      <c r="P231" s="72"/>
      <c r="Q231" s="35"/>
    </row>
    <row r="232">
      <c r="A232" s="45"/>
      <c r="B232" s="45"/>
      <c r="C232" s="70"/>
      <c r="D232" s="77" t="s">
        <v>20</v>
      </c>
      <c r="E232" s="79">
        <v>0.0</v>
      </c>
      <c r="F232" s="75"/>
      <c r="G232" s="81">
        <v>265000.0</v>
      </c>
      <c r="H232" s="75"/>
      <c r="I232" s="81">
        <v>0.0</v>
      </c>
      <c r="J232" s="75"/>
      <c r="K232" s="81">
        <v>0.0</v>
      </c>
      <c r="L232" s="75"/>
      <c r="M232" s="81">
        <v>0.0</v>
      </c>
      <c r="N232" s="80"/>
      <c r="O232" s="83">
        <f t="shared" si="9"/>
        <v>265000</v>
      </c>
      <c r="P232" s="80"/>
      <c r="Q232" s="35"/>
    </row>
    <row r="233">
      <c r="A233" s="45"/>
      <c r="B233" s="45"/>
      <c r="C233" s="70"/>
      <c r="D233" s="77" t="s">
        <v>21</v>
      </c>
      <c r="E233" s="81">
        <f>815+1247+3020+1697+567+1094+2236</f>
        <v>10676</v>
      </c>
      <c r="F233" s="75"/>
      <c r="G233" s="79">
        <f>1428+4727+2245+2691+1646+5003+1148</f>
        <v>18888</v>
      </c>
      <c r="H233" s="75"/>
      <c r="I233" s="81">
        <v>0.0</v>
      </c>
      <c r="J233" s="75"/>
      <c r="K233" s="81">
        <f>4955+232+864</f>
        <v>6051</v>
      </c>
      <c r="L233" s="75"/>
      <c r="M233" s="81">
        <f>1293+6481+798</f>
        <v>8572</v>
      </c>
      <c r="N233" s="80"/>
      <c r="O233" s="83">
        <f t="shared" si="9"/>
        <v>44187</v>
      </c>
      <c r="P233" s="80"/>
      <c r="Q233" s="35"/>
    </row>
    <row r="234">
      <c r="A234" s="45"/>
      <c r="B234" s="45"/>
      <c r="C234" s="70"/>
      <c r="D234" s="87" t="s">
        <v>22</v>
      </c>
      <c r="E234" s="81">
        <f>400+2980+750+2049</f>
        <v>6179</v>
      </c>
      <c r="F234" s="75"/>
      <c r="G234" s="81">
        <f>1999+780+230+590+1180</f>
        <v>4779</v>
      </c>
      <c r="H234" s="75"/>
      <c r="I234" s="81">
        <v>0.0</v>
      </c>
      <c r="J234" s="75"/>
      <c r="K234" s="81">
        <f>3745+2899+5300</f>
        <v>11944</v>
      </c>
      <c r="L234" s="75"/>
      <c r="M234" s="81">
        <f>690+250</f>
        <v>940</v>
      </c>
      <c r="N234" s="80"/>
      <c r="O234" s="83">
        <f t="shared" si="9"/>
        <v>23842</v>
      </c>
      <c r="P234" s="80"/>
      <c r="Q234" s="35"/>
    </row>
    <row r="235">
      <c r="A235" s="45"/>
      <c r="B235" s="45"/>
      <c r="C235" s="70"/>
      <c r="D235" s="87" t="s">
        <v>23</v>
      </c>
      <c r="E235" s="81">
        <v>3605.0</v>
      </c>
      <c r="F235" s="75"/>
      <c r="G235" s="81">
        <f>1300+4035+2448+(32424)/2+2300</f>
        <v>26295</v>
      </c>
      <c r="H235" s="75"/>
      <c r="I235" s="79">
        <v>0.0</v>
      </c>
      <c r="J235" s="75"/>
      <c r="K235" s="81">
        <v>0.0</v>
      </c>
      <c r="L235" s="75"/>
      <c r="M235" s="213">
        <f>9070/2</f>
        <v>4535</v>
      </c>
      <c r="N235" s="80"/>
      <c r="O235" s="83">
        <f t="shared" si="9"/>
        <v>34435</v>
      </c>
      <c r="P235" s="80"/>
      <c r="Q235" s="35"/>
    </row>
    <row r="236">
      <c r="A236" s="45"/>
      <c r="B236" s="45"/>
      <c r="C236" s="70"/>
      <c r="D236" s="77" t="s">
        <v>24</v>
      </c>
      <c r="E236" s="81">
        <v>0.0</v>
      </c>
      <c r="F236" s="75"/>
      <c r="G236" s="81">
        <f>1090+850+2100</f>
        <v>4040</v>
      </c>
      <c r="H236" s="75"/>
      <c r="I236" s="81">
        <v>0.0</v>
      </c>
      <c r="J236" s="75"/>
      <c r="K236" s="81">
        <f>1090</f>
        <v>1090</v>
      </c>
      <c r="L236" s="75"/>
      <c r="M236" s="81">
        <f>975+1100+1300</f>
        <v>3375</v>
      </c>
      <c r="N236" s="80"/>
      <c r="O236" s="83">
        <f t="shared" si="9"/>
        <v>8505</v>
      </c>
      <c r="P236" s="80"/>
      <c r="Q236" s="35"/>
    </row>
    <row r="237">
      <c r="A237" s="45"/>
      <c r="B237" s="45"/>
      <c r="C237" s="70"/>
      <c r="D237" s="77" t="s">
        <v>25</v>
      </c>
      <c r="E237" s="81">
        <v>14721.0</v>
      </c>
      <c r="F237" s="75"/>
      <c r="G237" s="79">
        <v>0.0</v>
      </c>
      <c r="H237" s="75"/>
      <c r="I237" s="81">
        <v>0.0</v>
      </c>
      <c r="J237" s="75"/>
      <c r="K237" s="81">
        <v>12312.0</v>
      </c>
      <c r="L237" s="75"/>
      <c r="M237" s="81">
        <v>0.0</v>
      </c>
      <c r="N237" s="80"/>
      <c r="O237" s="83">
        <f t="shared" si="9"/>
        <v>27033</v>
      </c>
      <c r="P237" s="80"/>
      <c r="Q237" s="35"/>
    </row>
    <row r="238">
      <c r="A238" s="45"/>
      <c r="B238" s="45"/>
      <c r="C238" s="70"/>
      <c r="D238" s="77" t="s">
        <v>26</v>
      </c>
      <c r="E238" s="81">
        <v>0.0</v>
      </c>
      <c r="F238" s="75"/>
      <c r="G238" s="81">
        <f>5500+300</f>
        <v>5800</v>
      </c>
      <c r="H238" s="75"/>
      <c r="I238" s="79">
        <v>0.0</v>
      </c>
      <c r="J238" s="75"/>
      <c r="K238" s="81">
        <v>5500.0</v>
      </c>
      <c r="L238" s="75"/>
      <c r="M238" s="81">
        <v>0.0</v>
      </c>
      <c r="N238" s="80"/>
      <c r="O238" s="83">
        <f t="shared" si="9"/>
        <v>11300</v>
      </c>
      <c r="P238" s="80"/>
      <c r="Q238" s="35"/>
    </row>
    <row r="239">
      <c r="A239" s="45"/>
      <c r="B239" s="45"/>
      <c r="C239" s="70"/>
      <c r="D239" s="77" t="s">
        <v>27</v>
      </c>
      <c r="E239" s="81">
        <v>2295.0</v>
      </c>
      <c r="F239" s="75"/>
      <c r="G239" s="81">
        <v>13995.0</v>
      </c>
      <c r="H239" s="75"/>
      <c r="I239" s="81">
        <v>0.0</v>
      </c>
      <c r="J239" s="75"/>
      <c r="K239" s="81">
        <v>0.0</v>
      </c>
      <c r="L239" s="75"/>
      <c r="M239" s="81">
        <v>0.0</v>
      </c>
      <c r="N239" s="80"/>
      <c r="O239" s="83">
        <f t="shared" si="9"/>
        <v>16290</v>
      </c>
      <c r="P239" s="80"/>
      <c r="Q239" s="35"/>
    </row>
    <row r="240">
      <c r="A240" s="45"/>
      <c r="B240" s="45"/>
      <c r="C240" s="70"/>
      <c r="D240" s="77" t="s">
        <v>28</v>
      </c>
      <c r="E240" s="81">
        <v>23049.0</v>
      </c>
      <c r="F240" s="75"/>
      <c r="G240" s="81">
        <f>11318+11395+2200+999</f>
        <v>25912</v>
      </c>
      <c r="H240" s="75"/>
      <c r="I240" s="81">
        <f>91.75*393.12</f>
        <v>36068.76</v>
      </c>
      <c r="J240" s="75"/>
      <c r="K240" s="81">
        <f>(136.88+87.38+87.42+88.24+31.33)*393+2383+63398</f>
        <v>235262.25</v>
      </c>
      <c r="L240" s="75"/>
      <c r="M240" s="79">
        <v>0.0</v>
      </c>
      <c r="N240" s="80"/>
      <c r="O240" s="83">
        <f t="shared" si="9"/>
        <v>320292.01</v>
      </c>
      <c r="P240" s="80"/>
      <c r="Q240" s="35"/>
    </row>
    <row r="241">
      <c r="A241" s="45"/>
      <c r="B241" s="45"/>
      <c r="C241" s="70"/>
      <c r="D241" s="77" t="s">
        <v>29</v>
      </c>
      <c r="E241" s="79">
        <v>1000.0</v>
      </c>
      <c r="F241" s="75"/>
      <c r="G241" s="81">
        <v>8950.0</v>
      </c>
      <c r="H241" s="75"/>
      <c r="I241" s="81">
        <v>0.0</v>
      </c>
      <c r="J241" s="75"/>
      <c r="K241" s="81">
        <v>0.0</v>
      </c>
      <c r="L241" s="75"/>
      <c r="M241" s="83">
        <v>0.0</v>
      </c>
      <c r="N241" s="80"/>
      <c r="O241" s="83">
        <f t="shared" si="9"/>
        <v>9950</v>
      </c>
      <c r="P241" s="80"/>
      <c r="Q241" s="35"/>
    </row>
    <row r="242">
      <c r="A242" s="45"/>
      <c r="B242" s="45"/>
      <c r="C242" s="70"/>
      <c r="D242" s="77" t="s">
        <v>30</v>
      </c>
      <c r="E242" s="81">
        <v>2245.0</v>
      </c>
      <c r="F242" s="75"/>
      <c r="G242" s="81">
        <v>3090.0</v>
      </c>
      <c r="H242" s="75"/>
      <c r="I242" s="81">
        <v>0.0</v>
      </c>
      <c r="J242" s="75"/>
      <c r="K242" s="81">
        <v>0.0</v>
      </c>
      <c r="L242" s="75"/>
      <c r="M242" s="81">
        <v>0.0</v>
      </c>
      <c r="N242" s="200"/>
      <c r="O242" s="83">
        <f t="shared" si="9"/>
        <v>5335</v>
      </c>
      <c r="P242" s="80"/>
      <c r="Q242" s="35"/>
    </row>
    <row r="243">
      <c r="A243" s="45"/>
      <c r="B243" s="45"/>
      <c r="C243" s="70"/>
      <c r="D243" s="89" t="s">
        <v>31</v>
      </c>
      <c r="E243" s="81">
        <v>3605.0</v>
      </c>
      <c r="F243" s="75"/>
      <c r="G243" s="81">
        <f>1300+4035+700+15983+850+(32424)/2</f>
        <v>39080</v>
      </c>
      <c r="H243" s="75"/>
      <c r="I243" s="81">
        <v>0.0</v>
      </c>
      <c r="J243" s="75"/>
      <c r="K243" s="81">
        <v>1600.0</v>
      </c>
      <c r="L243" s="75"/>
      <c r="M243" s="81">
        <f>4535+975+1100+1300+25717</f>
        <v>33627</v>
      </c>
      <c r="N243" s="80"/>
      <c r="O243" s="83">
        <f t="shared" si="9"/>
        <v>77912</v>
      </c>
      <c r="P243" s="80"/>
      <c r="Q243" s="35"/>
    </row>
    <row r="244">
      <c r="A244" s="45"/>
      <c r="B244" s="45"/>
      <c r="C244" s="70"/>
      <c r="D244" s="77" t="s">
        <v>32</v>
      </c>
      <c r="E244" s="81">
        <v>1100.0</v>
      </c>
      <c r="F244" s="75"/>
      <c r="G244" s="81">
        <v>1100.0</v>
      </c>
      <c r="H244" s="75"/>
      <c r="I244" s="81">
        <v>0.0</v>
      </c>
      <c r="J244" s="75"/>
      <c r="K244" s="81">
        <v>0.0</v>
      </c>
      <c r="L244" s="75"/>
      <c r="M244" s="81">
        <v>1000.0</v>
      </c>
      <c r="N244" s="80"/>
      <c r="O244" s="83">
        <f t="shared" si="9"/>
        <v>3200</v>
      </c>
      <c r="P244" s="80"/>
      <c r="Q244" s="35"/>
    </row>
    <row r="245">
      <c r="A245" s="45"/>
      <c r="B245" s="45"/>
      <c r="C245" s="70"/>
      <c r="D245" s="77" t="s">
        <v>33</v>
      </c>
      <c r="E245" s="81">
        <v>0.0</v>
      </c>
      <c r="F245" s="75"/>
      <c r="G245" s="79">
        <v>0.0</v>
      </c>
      <c r="H245" s="75"/>
      <c r="I245" s="81">
        <v>0.0</v>
      </c>
      <c r="J245" s="75"/>
      <c r="K245" s="81">
        <v>0.0</v>
      </c>
      <c r="L245" s="75"/>
      <c r="M245" s="81">
        <v>0.0</v>
      </c>
      <c r="N245" s="80"/>
      <c r="O245" s="83">
        <f t="shared" si="9"/>
        <v>0</v>
      </c>
      <c r="P245" s="80"/>
      <c r="Q245" s="35"/>
    </row>
    <row r="246">
      <c r="A246" s="45"/>
      <c r="B246" s="45"/>
      <c r="C246" s="93"/>
      <c r="D246" s="94" t="s">
        <v>34</v>
      </c>
      <c r="E246" s="95">
        <f>SUM(E247:F250)</f>
        <v>944335</v>
      </c>
      <c r="F246" s="75"/>
      <c r="G246" s="95">
        <f>SUM(G247:G250)</f>
        <v>315000</v>
      </c>
      <c r="H246" s="75"/>
      <c r="I246" s="95">
        <f>SUM(I247:I250)</f>
        <v>0</v>
      </c>
      <c r="J246" s="75"/>
      <c r="K246" s="95">
        <f>SUM(K247:K250)</f>
        <v>0</v>
      </c>
      <c r="L246" s="75"/>
      <c r="M246" s="95">
        <f>SUM(M247:M250)</f>
        <v>0</v>
      </c>
      <c r="N246" s="93"/>
      <c r="O246" s="95">
        <f t="shared" si="9"/>
        <v>1259335</v>
      </c>
      <c r="P246" s="93"/>
      <c r="Q246" s="35"/>
    </row>
    <row r="247">
      <c r="A247" s="45"/>
      <c r="B247" s="45"/>
      <c r="C247" s="98"/>
      <c r="D247" s="77" t="s">
        <v>35</v>
      </c>
      <c r="E247" s="100">
        <v>944335.0</v>
      </c>
      <c r="F247" s="75"/>
      <c r="G247" s="81">
        <v>0.0</v>
      </c>
      <c r="H247" s="75"/>
      <c r="I247" s="81"/>
      <c r="J247" s="83">
        <v>0.0</v>
      </c>
      <c r="K247" s="83">
        <v>0.0</v>
      </c>
      <c r="L247" s="75"/>
      <c r="M247" s="83">
        <v>0.0</v>
      </c>
      <c r="N247" s="80"/>
      <c r="O247" s="83">
        <f t="shared" si="9"/>
        <v>944335</v>
      </c>
      <c r="P247" s="80"/>
      <c r="Q247" s="35"/>
    </row>
    <row r="248">
      <c r="A248" s="45"/>
      <c r="B248" s="45"/>
      <c r="C248" s="98"/>
      <c r="D248" s="77" t="s">
        <v>36</v>
      </c>
      <c r="E248" s="81">
        <v>0.0</v>
      </c>
      <c r="F248" s="75"/>
      <c r="G248" s="102"/>
      <c r="H248" s="83">
        <v>0.0</v>
      </c>
      <c r="I248" s="102"/>
      <c r="J248" s="83">
        <v>0.0</v>
      </c>
      <c r="K248" s="102"/>
      <c r="L248" s="83">
        <v>0.0</v>
      </c>
      <c r="M248" s="83">
        <v>0.0</v>
      </c>
      <c r="N248" s="80"/>
      <c r="O248" s="83">
        <f t="shared" si="9"/>
        <v>0</v>
      </c>
      <c r="P248" s="80"/>
      <c r="Q248" s="35"/>
    </row>
    <row r="249">
      <c r="A249" s="45"/>
      <c r="B249" s="45"/>
      <c r="C249" s="98"/>
      <c r="D249" s="77" t="s">
        <v>37</v>
      </c>
      <c r="E249" s="83">
        <v>0.0</v>
      </c>
      <c r="F249" s="75"/>
      <c r="G249" s="83">
        <v>0.0</v>
      </c>
      <c r="H249" s="75"/>
      <c r="I249" s="83">
        <v>0.0</v>
      </c>
      <c r="J249" s="75"/>
      <c r="K249" s="83">
        <v>0.0</v>
      </c>
      <c r="L249" s="75"/>
      <c r="M249" s="83">
        <v>0.0</v>
      </c>
      <c r="N249" s="80"/>
      <c r="O249" s="83">
        <f t="shared" si="9"/>
        <v>0</v>
      </c>
      <c r="P249" s="80"/>
      <c r="Q249" s="35"/>
    </row>
    <row r="250">
      <c r="A250" s="45"/>
      <c r="B250" s="45"/>
      <c r="C250" s="109"/>
      <c r="D250" s="110" t="s">
        <v>33</v>
      </c>
      <c r="E250" s="113">
        <v>0.0</v>
      </c>
      <c r="F250" s="112"/>
      <c r="G250" s="113">
        <v>315000.0</v>
      </c>
      <c r="H250" s="112"/>
      <c r="I250" s="113">
        <v>0.0</v>
      </c>
      <c r="J250" s="112"/>
      <c r="K250" s="113">
        <v>0.0</v>
      </c>
      <c r="L250" s="112"/>
      <c r="M250" s="111">
        <v>0.0</v>
      </c>
      <c r="N250" s="114"/>
      <c r="O250" s="111">
        <f t="shared" si="9"/>
        <v>315000</v>
      </c>
      <c r="P250" s="114"/>
      <c r="Q250" s="35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</row>
    <row r="252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6"/>
      <c r="O252" s="116"/>
      <c r="P252" s="116"/>
      <c r="Q252" s="19"/>
    </row>
    <row r="253">
      <c r="A253" s="215"/>
      <c r="B253" s="216"/>
      <c r="C253" s="13"/>
      <c r="D253" s="13"/>
      <c r="E253" s="13"/>
      <c r="F253" s="5"/>
      <c r="G253" s="5"/>
      <c r="H253" s="3" t="str">
        <f t="array" ref="H253">(INDIRECT("I" &amp; ROW() + 1)/INDIRECT("D" &amp; ROW() + 1))</f>
        <v>#DIV/0!</v>
      </c>
      <c r="J253" s="5"/>
      <c r="K253" s="4">
        <f t="array" ref="K253">(1 - INDIRECT("I" &amp; ROW()))</f>
        <v>1</v>
      </c>
      <c r="M253" s="5"/>
      <c r="N253" s="5"/>
      <c r="O253" s="5"/>
      <c r="P253" s="5"/>
      <c r="Q253" s="5"/>
    </row>
    <row r="254">
      <c r="A254" s="26"/>
      <c r="B254" s="1"/>
      <c r="C254" s="8">
        <f>O274</f>
        <v>981083</v>
      </c>
      <c r="F254" s="5"/>
      <c r="H254" s="27">
        <f>O259</f>
        <v>718135</v>
      </c>
      <c r="J254" s="5"/>
      <c r="K254" s="32">
        <f>C254-H254</f>
        <v>262948</v>
      </c>
      <c r="M254" s="34">
        <v>1.0</v>
      </c>
      <c r="O254" s="5"/>
      <c r="P254" s="5"/>
      <c r="Q254" s="5"/>
    </row>
    <row r="255">
      <c r="A255" s="37"/>
      <c r="B255" s="37"/>
      <c r="C255" s="40" t="s">
        <v>1</v>
      </c>
      <c r="D255" s="42"/>
      <c r="E255" s="42"/>
      <c r="F255" s="42"/>
      <c r="G255" s="42"/>
      <c r="H255" s="40" t="s">
        <v>2</v>
      </c>
      <c r="I255" s="42"/>
      <c r="J255" s="18"/>
      <c r="K255" s="40" t="s">
        <v>3</v>
      </c>
      <c r="L255" s="42"/>
      <c r="M255" s="44" t="s">
        <v>14</v>
      </c>
      <c r="N255" s="42"/>
      <c r="O255" s="18"/>
      <c r="P255" s="18"/>
      <c r="Q255" s="18"/>
    </row>
    <row r="256">
      <c r="A256" s="19"/>
      <c r="B256" s="19"/>
      <c r="C256" s="19"/>
      <c r="D256" s="19"/>
      <c r="E256" s="19" t="s">
        <v>4</v>
      </c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</row>
    <row r="257">
      <c r="A257" s="45"/>
      <c r="B257" s="45"/>
      <c r="C257" s="198" t="s">
        <v>61</v>
      </c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9"/>
    </row>
    <row r="258">
      <c r="A258" s="45"/>
      <c r="B258" s="45"/>
      <c r="C258" s="29"/>
      <c r="D258" s="54" t="s">
        <v>6</v>
      </c>
      <c r="E258" s="57" t="s">
        <v>15</v>
      </c>
      <c r="G258" s="57" t="s">
        <v>16</v>
      </c>
      <c r="I258" s="57" t="s">
        <v>17</v>
      </c>
      <c r="K258" s="57" t="s">
        <v>18</v>
      </c>
      <c r="M258" s="57" t="s">
        <v>19</v>
      </c>
      <c r="N258" s="29"/>
      <c r="O258" s="57" t="s">
        <v>12</v>
      </c>
      <c r="P258" s="29"/>
      <c r="Q258" s="35"/>
    </row>
    <row r="259">
      <c r="A259" s="45"/>
      <c r="B259" s="45"/>
      <c r="C259" s="55"/>
      <c r="D259" s="64" t="s">
        <v>13</v>
      </c>
      <c r="E259" s="67">
        <f>SUM(E260:F273)</f>
        <v>265374</v>
      </c>
      <c r="F259" s="62"/>
      <c r="G259" s="67">
        <f>SUM(G260:H273)</f>
        <v>225261</v>
      </c>
      <c r="H259" s="62"/>
      <c r="I259" s="67">
        <f>SUM(I260:J273)</f>
        <v>41305</v>
      </c>
      <c r="J259" s="62"/>
      <c r="K259" s="67">
        <f>SUM(K260:L273)</f>
        <v>153155</v>
      </c>
      <c r="L259" s="62"/>
      <c r="M259" s="67">
        <f>SUM(M260:M273)</f>
        <v>33040</v>
      </c>
      <c r="N259" s="72"/>
      <c r="O259" s="67">
        <f t="shared" ref="O259:O278" si="10">SUM(E259:N259)</f>
        <v>718135</v>
      </c>
      <c r="P259" s="72"/>
      <c r="Q259" s="35"/>
    </row>
    <row r="260">
      <c r="A260" s="45"/>
      <c r="B260" s="45"/>
      <c r="C260" s="70"/>
      <c r="D260" s="77" t="s">
        <v>20</v>
      </c>
      <c r="E260" s="79">
        <f>(220000+40000+5000+8324)-76662</f>
        <v>196662</v>
      </c>
      <c r="F260" s="75"/>
      <c r="G260" s="81">
        <v>0.0</v>
      </c>
      <c r="H260" s="75"/>
      <c r="I260" s="81">
        <v>0.0</v>
      </c>
      <c r="J260" s="75"/>
      <c r="K260" s="81">
        <v>0.0</v>
      </c>
      <c r="L260" s="75"/>
      <c r="M260" s="81">
        <v>0.0</v>
      </c>
      <c r="N260" s="80"/>
      <c r="O260" s="83">
        <f t="shared" si="10"/>
        <v>196662</v>
      </c>
      <c r="P260" s="80"/>
      <c r="Q260" s="35"/>
    </row>
    <row r="261">
      <c r="A261" s="45"/>
      <c r="B261" s="45"/>
      <c r="C261" s="70"/>
      <c r="D261" s="77" t="s">
        <v>21</v>
      </c>
      <c r="E261" s="81">
        <f>5472+300+200+1465+4944</f>
        <v>12381</v>
      </c>
      <c r="F261" s="75"/>
      <c r="G261" s="79">
        <f>2187+1349+1848+6742+1873+728+898+1088+310+3000+600+4102</f>
        <v>24725</v>
      </c>
      <c r="H261" s="75"/>
      <c r="I261" s="81">
        <f>2385+835+357+1887+767+600+1453+237</f>
        <v>8521</v>
      </c>
      <c r="J261" s="75"/>
      <c r="K261" s="81">
        <f>2984+2653+1621+1608+2715+2049+1399</f>
        <v>15029</v>
      </c>
      <c r="L261" s="75"/>
      <c r="M261" s="81">
        <f>6242+300+2497</f>
        <v>9039</v>
      </c>
      <c r="N261" s="80"/>
      <c r="O261" s="83">
        <f t="shared" si="10"/>
        <v>69695</v>
      </c>
      <c r="P261" s="80"/>
      <c r="Q261" s="35"/>
    </row>
    <row r="262">
      <c r="A262" s="45"/>
      <c r="B262" s="45"/>
      <c r="C262" s="70"/>
      <c r="D262" s="87" t="s">
        <v>22</v>
      </c>
      <c r="E262" s="81">
        <f>1698+650+5500+1553</f>
        <v>9401</v>
      </c>
      <c r="F262" s="75"/>
      <c r="G262" s="81">
        <f>1068+600</f>
        <v>1668</v>
      </c>
      <c r="H262" s="75"/>
      <c r="I262" s="81">
        <v>5500.0</v>
      </c>
      <c r="J262" s="75"/>
      <c r="K262" s="81">
        <f>4448+1345</f>
        <v>5793</v>
      </c>
      <c r="L262" s="75"/>
      <c r="M262" s="81">
        <f>2085+1050</f>
        <v>3135</v>
      </c>
      <c r="N262" s="80"/>
      <c r="O262" s="83">
        <f t="shared" si="10"/>
        <v>25497</v>
      </c>
      <c r="P262" s="80"/>
      <c r="Q262" s="35"/>
    </row>
    <row r="263">
      <c r="A263" s="45"/>
      <c r="B263" s="45"/>
      <c r="C263" s="70"/>
      <c r="D263" s="87" t="s">
        <v>23</v>
      </c>
      <c r="E263" s="81">
        <f>4780/2</f>
        <v>2390</v>
      </c>
      <c r="F263" s="75"/>
      <c r="G263" s="81">
        <f>4290+600</f>
        <v>4890</v>
      </c>
      <c r="H263" s="75"/>
      <c r="I263" s="79">
        <f>3000+2029+628+3290+5980</f>
        <v>14927</v>
      </c>
      <c r="J263" s="75"/>
      <c r="K263" s="81">
        <f>2982+2500+2385</f>
        <v>7867</v>
      </c>
      <c r="L263" s="75"/>
      <c r="M263" s="81">
        <v>0.0</v>
      </c>
      <c r="N263" s="80"/>
      <c r="O263" s="83">
        <f t="shared" si="10"/>
        <v>30074</v>
      </c>
      <c r="P263" s="80"/>
      <c r="Q263" s="35"/>
    </row>
    <row r="264">
      <c r="A264" s="45"/>
      <c r="B264" s="45"/>
      <c r="C264" s="70"/>
      <c r="D264" s="77" t="s">
        <v>24</v>
      </c>
      <c r="E264" s="81">
        <f>1000</f>
        <v>1000</v>
      </c>
      <c r="F264" s="75"/>
      <c r="G264" s="81">
        <f>1350+1030+1078</f>
        <v>3458</v>
      </c>
      <c r="H264" s="75"/>
      <c r="I264" s="81">
        <f>1490+900+940</f>
        <v>3330</v>
      </c>
      <c r="J264" s="75"/>
      <c r="K264" s="81">
        <f>1310+1000+1000+1300+3340+940+940+940+1000</f>
        <v>11770</v>
      </c>
      <c r="L264" s="75"/>
      <c r="M264" s="81">
        <f>990+990</f>
        <v>1980</v>
      </c>
      <c r="N264" s="80"/>
      <c r="O264" s="83">
        <f t="shared" si="10"/>
        <v>21538</v>
      </c>
      <c r="P264" s="80"/>
      <c r="Q264" s="35"/>
    </row>
    <row r="265">
      <c r="A265" s="45"/>
      <c r="B265" s="45"/>
      <c r="C265" s="70"/>
      <c r="D265" s="77" t="s">
        <v>25</v>
      </c>
      <c r="E265" s="81">
        <v>0.0</v>
      </c>
      <c r="F265" s="75"/>
      <c r="G265" s="79">
        <v>169820.0</v>
      </c>
      <c r="H265" s="75"/>
      <c r="I265" s="81">
        <v>1100.0</v>
      </c>
      <c r="J265" s="75"/>
      <c r="K265" s="81">
        <v>0.0</v>
      </c>
      <c r="L265" s="75"/>
      <c r="M265" s="81">
        <v>0.0</v>
      </c>
      <c r="N265" s="80"/>
      <c r="O265" s="83">
        <f t="shared" si="10"/>
        <v>170920</v>
      </c>
      <c r="P265" s="80"/>
      <c r="Q265" s="35"/>
    </row>
    <row r="266">
      <c r="A266" s="45"/>
      <c r="B266" s="45"/>
      <c r="C266" s="70"/>
      <c r="D266" s="77" t="s">
        <v>26</v>
      </c>
      <c r="E266" s="81">
        <v>12360.0</v>
      </c>
      <c r="F266" s="75"/>
      <c r="G266" s="81">
        <f>5500</f>
        <v>5500</v>
      </c>
      <c r="H266" s="75"/>
      <c r="I266" s="79">
        <v>0.0</v>
      </c>
      <c r="J266" s="75"/>
      <c r="K266" s="81">
        <f>14770+5500</f>
        <v>20270</v>
      </c>
      <c r="L266" s="75"/>
      <c r="M266" s="81">
        <v>0.0</v>
      </c>
      <c r="N266" s="80"/>
      <c r="O266" s="83">
        <f t="shared" si="10"/>
        <v>38130</v>
      </c>
      <c r="P266" s="80"/>
      <c r="Q266" s="35"/>
    </row>
    <row r="267">
      <c r="A267" s="45"/>
      <c r="B267" s="45"/>
      <c r="C267" s="70"/>
      <c r="D267" s="77" t="s">
        <v>27</v>
      </c>
      <c r="E267" s="81">
        <v>18065.0</v>
      </c>
      <c r="F267" s="75"/>
      <c r="G267" s="81">
        <v>2300.0</v>
      </c>
      <c r="H267" s="75"/>
      <c r="I267" s="81">
        <v>0.0</v>
      </c>
      <c r="J267" s="75"/>
      <c r="K267" s="81">
        <v>0.0</v>
      </c>
      <c r="L267" s="75"/>
      <c r="M267" s="81">
        <v>0.0</v>
      </c>
      <c r="N267" s="80"/>
      <c r="O267" s="83">
        <f t="shared" si="10"/>
        <v>20365</v>
      </c>
      <c r="P267" s="80"/>
      <c r="Q267" s="35"/>
    </row>
    <row r="268">
      <c r="A268" s="45"/>
      <c r="B268" s="45"/>
      <c r="C268" s="70"/>
      <c r="D268" s="77" t="s">
        <v>28</v>
      </c>
      <c r="E268" s="81">
        <v>0.0</v>
      </c>
      <c r="F268" s="75"/>
      <c r="G268" s="81">
        <v>0.0</v>
      </c>
      <c r="H268" s="75"/>
      <c r="I268" s="81">
        <v>0.0</v>
      </c>
      <c r="J268" s="75"/>
      <c r="K268" s="81">
        <v>0.0</v>
      </c>
      <c r="L268" s="75"/>
      <c r="M268" s="79">
        <v>0.0</v>
      </c>
      <c r="N268" s="80"/>
      <c r="O268" s="83">
        <f t="shared" si="10"/>
        <v>0</v>
      </c>
      <c r="P268" s="80"/>
      <c r="Q268" s="35"/>
    </row>
    <row r="269">
      <c r="A269" s="45"/>
      <c r="B269" s="45"/>
      <c r="C269" s="70"/>
      <c r="D269" s="77" t="s">
        <v>29</v>
      </c>
      <c r="E269" s="79">
        <v>0.0</v>
      </c>
      <c r="F269" s="75"/>
      <c r="G269" s="81">
        <v>8950.0</v>
      </c>
      <c r="H269" s="75"/>
      <c r="I269" s="81">
        <v>0.0</v>
      </c>
      <c r="J269" s="75"/>
      <c r="K269" s="81">
        <v>0.0</v>
      </c>
      <c r="L269" s="75"/>
      <c r="M269" s="83">
        <v>0.0</v>
      </c>
      <c r="N269" s="80"/>
      <c r="O269" s="83">
        <f t="shared" si="10"/>
        <v>8950</v>
      </c>
      <c r="P269" s="80"/>
      <c r="Q269" s="35"/>
    </row>
    <row r="270">
      <c r="A270" s="45"/>
      <c r="B270" s="45"/>
      <c r="C270" s="70"/>
      <c r="D270" s="77" t="s">
        <v>30</v>
      </c>
      <c r="E270" s="81">
        <f>2245+1790</f>
        <v>4035</v>
      </c>
      <c r="F270" s="75"/>
      <c r="G270" s="81">
        <v>0.0</v>
      </c>
      <c r="H270" s="75"/>
      <c r="I270" s="81">
        <v>2790.0</v>
      </c>
      <c r="J270" s="75"/>
      <c r="K270" s="81">
        <f>1790</f>
        <v>1790</v>
      </c>
      <c r="L270" s="75"/>
      <c r="M270" s="81">
        <v>3596.0</v>
      </c>
      <c r="N270" s="200"/>
      <c r="O270" s="83">
        <f t="shared" si="10"/>
        <v>12211</v>
      </c>
      <c r="P270" s="80"/>
      <c r="Q270" s="35"/>
    </row>
    <row r="271">
      <c r="A271" s="45"/>
      <c r="B271" s="45"/>
      <c r="C271" s="70"/>
      <c r="D271" s="89" t="s">
        <v>31</v>
      </c>
      <c r="E271" s="81">
        <v>2390.0</v>
      </c>
      <c r="F271" s="75"/>
      <c r="G271" s="81">
        <f>1700+1700</f>
        <v>3400</v>
      </c>
      <c r="H271" s="75"/>
      <c r="I271" s="81">
        <v>0.0</v>
      </c>
      <c r="J271" s="75"/>
      <c r="K271" s="81">
        <f>1000+1300+2500+65228+940+940</f>
        <v>71908</v>
      </c>
      <c r="L271" s="75"/>
      <c r="M271" s="81">
        <f>990+990</f>
        <v>1980</v>
      </c>
      <c r="N271" s="80"/>
      <c r="O271" s="83">
        <f t="shared" si="10"/>
        <v>79678</v>
      </c>
      <c r="P271" s="80"/>
      <c r="Q271" s="35"/>
    </row>
    <row r="272">
      <c r="A272" s="45"/>
      <c r="B272" s="45"/>
      <c r="C272" s="70"/>
      <c r="D272" s="77" t="s">
        <v>32</v>
      </c>
      <c r="E272" s="81">
        <v>5540.0</v>
      </c>
      <c r="F272" s="75"/>
      <c r="G272" s="81">
        <v>0.0</v>
      </c>
      <c r="H272" s="75"/>
      <c r="I272" s="81">
        <v>0.0</v>
      </c>
      <c r="J272" s="75"/>
      <c r="K272" s="81">
        <f>3000</f>
        <v>3000</v>
      </c>
      <c r="L272" s="75"/>
      <c r="M272" s="81">
        <v>0.0</v>
      </c>
      <c r="N272" s="80"/>
      <c r="O272" s="83">
        <f t="shared" si="10"/>
        <v>8540</v>
      </c>
      <c r="P272" s="80"/>
      <c r="Q272" s="35"/>
    </row>
    <row r="273">
      <c r="A273" s="45"/>
      <c r="B273" s="45"/>
      <c r="C273" s="70"/>
      <c r="D273" s="77" t="s">
        <v>33</v>
      </c>
      <c r="E273" s="81">
        <v>1150.0</v>
      </c>
      <c r="F273" s="75"/>
      <c r="G273" s="79">
        <v>550.0</v>
      </c>
      <c r="H273" s="75"/>
      <c r="I273" s="81">
        <f>900+2298+1489+450</f>
        <v>5137</v>
      </c>
      <c r="J273" s="75"/>
      <c r="K273" s="81">
        <f>4400+2770+1758+6000+800</f>
        <v>15728</v>
      </c>
      <c r="L273" s="75"/>
      <c r="M273" s="81">
        <f>(11590+1720)</f>
        <v>13310</v>
      </c>
      <c r="N273" s="80"/>
      <c r="O273" s="83">
        <f t="shared" si="10"/>
        <v>35875</v>
      </c>
      <c r="P273" s="80"/>
      <c r="Q273" s="35"/>
    </row>
    <row r="274">
      <c r="A274" s="45"/>
      <c r="B274" s="45"/>
      <c r="C274" s="93"/>
      <c r="D274" s="94" t="s">
        <v>34</v>
      </c>
      <c r="E274" s="95">
        <f>SUM(E275:F278)</f>
        <v>0</v>
      </c>
      <c r="F274" s="75"/>
      <c r="G274" s="95">
        <f>SUM(G275:G278)</f>
        <v>949288</v>
      </c>
      <c r="H274" s="75"/>
      <c r="I274" s="95">
        <f>SUM(I275:I278)</f>
        <v>6000</v>
      </c>
      <c r="J274" s="75"/>
      <c r="K274" s="95">
        <f>SUM(K275:K278)</f>
        <v>20000</v>
      </c>
      <c r="L274" s="75"/>
      <c r="M274" s="95">
        <f>SUM(M275:M278)</f>
        <v>5795</v>
      </c>
      <c r="N274" s="93"/>
      <c r="O274" s="95">
        <f t="shared" si="10"/>
        <v>981083</v>
      </c>
      <c r="P274" s="93"/>
      <c r="Q274" s="35"/>
    </row>
    <row r="275">
      <c r="A275" s="45"/>
      <c r="B275" s="45"/>
      <c r="C275" s="98"/>
      <c r="D275" s="77" t="s">
        <v>35</v>
      </c>
      <c r="E275" s="100">
        <v>0.0</v>
      </c>
      <c r="F275" s="75"/>
      <c r="G275" s="81">
        <v>944335.0</v>
      </c>
      <c r="H275" s="75"/>
      <c r="I275" s="81"/>
      <c r="J275" s="83">
        <v>0.0</v>
      </c>
      <c r="K275" s="83">
        <v>0.0</v>
      </c>
      <c r="L275" s="75"/>
      <c r="M275" s="83">
        <v>0.0</v>
      </c>
      <c r="N275" s="80"/>
      <c r="O275" s="83">
        <f t="shared" si="10"/>
        <v>944335</v>
      </c>
      <c r="P275" s="80"/>
      <c r="Q275" s="35"/>
    </row>
    <row r="276">
      <c r="A276" s="45"/>
      <c r="B276" s="45"/>
      <c r="C276" s="98"/>
      <c r="D276" s="77" t="s">
        <v>36</v>
      </c>
      <c r="E276" s="81">
        <v>0.0</v>
      </c>
      <c r="F276" s="75"/>
      <c r="G276" s="102"/>
      <c r="H276" s="83">
        <v>0.0</v>
      </c>
      <c r="I276" s="102"/>
      <c r="J276" s="83">
        <v>0.0</v>
      </c>
      <c r="K276" s="102"/>
      <c r="L276" s="83">
        <v>0.0</v>
      </c>
      <c r="M276" s="83">
        <v>0.0</v>
      </c>
      <c r="N276" s="80"/>
      <c r="O276" s="83">
        <f t="shared" si="10"/>
        <v>0</v>
      </c>
      <c r="P276" s="80"/>
      <c r="Q276" s="35"/>
    </row>
    <row r="277">
      <c r="A277" s="45"/>
      <c r="B277" s="45"/>
      <c r="C277" s="98"/>
      <c r="D277" s="77" t="s">
        <v>37</v>
      </c>
      <c r="E277" s="83">
        <v>0.0</v>
      </c>
      <c r="F277" s="75"/>
      <c r="G277" s="83">
        <v>0.0</v>
      </c>
      <c r="H277" s="75"/>
      <c r="I277" s="83">
        <v>0.0</v>
      </c>
      <c r="J277" s="75"/>
      <c r="K277" s="83">
        <v>0.0</v>
      </c>
      <c r="L277" s="75"/>
      <c r="M277" s="83">
        <v>0.0</v>
      </c>
      <c r="N277" s="80"/>
      <c r="O277" s="83">
        <f t="shared" si="10"/>
        <v>0</v>
      </c>
      <c r="P277" s="80"/>
      <c r="Q277" s="35"/>
    </row>
    <row r="278">
      <c r="A278" s="45"/>
      <c r="B278" s="45"/>
      <c r="C278" s="109"/>
      <c r="D278" s="110" t="s">
        <v>33</v>
      </c>
      <c r="E278" s="113">
        <v>0.0</v>
      </c>
      <c r="F278" s="112"/>
      <c r="G278" s="113">
        <v>4953.0</v>
      </c>
      <c r="H278" s="112"/>
      <c r="I278" s="113">
        <v>6000.0</v>
      </c>
      <c r="J278" s="112"/>
      <c r="K278" s="113">
        <v>20000.0</v>
      </c>
      <c r="L278" s="112"/>
      <c r="M278" s="113">
        <v>5795.0</v>
      </c>
      <c r="N278" s="114"/>
      <c r="O278" s="111">
        <f t="shared" si="10"/>
        <v>36748</v>
      </c>
      <c r="P278" s="114"/>
      <c r="Q278" s="35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</row>
    <row r="280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6"/>
      <c r="O280" s="116"/>
      <c r="P280" s="116"/>
      <c r="Q280" s="19"/>
    </row>
    <row r="281">
      <c r="A281" s="215"/>
      <c r="B281" s="216"/>
      <c r="C281" s="13"/>
      <c r="D281" s="13"/>
      <c r="E281" s="13"/>
      <c r="F281" s="5"/>
      <c r="G281" s="5"/>
      <c r="H281" s="3" t="str">
        <f t="array" ref="H281">(INDIRECT("I" &amp; ROW() + 1)/INDIRECT("D" &amp; ROW() + 1))</f>
        <v>#DIV/0!</v>
      </c>
      <c r="J281" s="5"/>
      <c r="K281" s="4">
        <f t="array" ref="K281">(1 - INDIRECT("I" &amp; ROW()))</f>
        <v>1</v>
      </c>
      <c r="M281" s="5"/>
      <c r="N281" s="5"/>
      <c r="O281" s="5"/>
      <c r="P281" s="5"/>
      <c r="Q281" s="5"/>
    </row>
    <row r="282">
      <c r="A282" s="26"/>
      <c r="B282" s="1"/>
      <c r="C282" s="8">
        <f>O302</f>
        <v>1001918</v>
      </c>
      <c r="F282" s="5"/>
      <c r="H282" s="27">
        <f>O287</f>
        <v>663812</v>
      </c>
      <c r="J282" s="5"/>
      <c r="K282" s="32">
        <f>C282-H282</f>
        <v>338106</v>
      </c>
      <c r="M282" s="34">
        <v>1.0</v>
      </c>
      <c r="O282" s="5"/>
      <c r="P282" s="5"/>
      <c r="Q282" s="5"/>
    </row>
    <row r="283">
      <c r="A283" s="37"/>
      <c r="B283" s="37"/>
      <c r="C283" s="40" t="s">
        <v>1</v>
      </c>
      <c r="D283" s="42"/>
      <c r="E283" s="42"/>
      <c r="F283" s="42"/>
      <c r="G283" s="42"/>
      <c r="H283" s="40" t="s">
        <v>2</v>
      </c>
      <c r="I283" s="42"/>
      <c r="J283" s="18"/>
      <c r="K283" s="40" t="s">
        <v>3</v>
      </c>
      <c r="L283" s="42"/>
      <c r="M283" s="44" t="s">
        <v>14</v>
      </c>
      <c r="N283" s="42"/>
      <c r="O283" s="18"/>
      <c r="P283" s="18"/>
      <c r="Q283" s="18"/>
    </row>
    <row r="284">
      <c r="A284" s="19"/>
      <c r="B284" s="19"/>
      <c r="C284" s="19"/>
      <c r="D284" s="19"/>
      <c r="E284" s="19" t="s">
        <v>4</v>
      </c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</row>
    <row r="285">
      <c r="A285" s="45"/>
      <c r="B285" s="45"/>
      <c r="C285" s="198" t="s">
        <v>62</v>
      </c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9"/>
    </row>
    <row r="286">
      <c r="A286" s="45"/>
      <c r="B286" s="45"/>
      <c r="C286" s="29"/>
      <c r="D286" s="54" t="s">
        <v>6</v>
      </c>
      <c r="E286" s="57" t="s">
        <v>15</v>
      </c>
      <c r="G286" s="57" t="s">
        <v>16</v>
      </c>
      <c r="I286" s="57" t="s">
        <v>17</v>
      </c>
      <c r="K286" s="57" t="s">
        <v>18</v>
      </c>
      <c r="M286" s="57" t="s">
        <v>19</v>
      </c>
      <c r="N286" s="29"/>
      <c r="O286" s="57" t="s">
        <v>12</v>
      </c>
      <c r="P286" s="29"/>
      <c r="Q286" s="35"/>
    </row>
    <row r="287">
      <c r="A287" s="45"/>
      <c r="B287" s="45"/>
      <c r="C287" s="55"/>
      <c r="D287" s="64" t="s">
        <v>13</v>
      </c>
      <c r="E287" s="67">
        <f>SUM(E288:F301)</f>
        <v>80688</v>
      </c>
      <c r="F287" s="62"/>
      <c r="G287" s="67">
        <f>SUM(G288:H301)</f>
        <v>252895</v>
      </c>
      <c r="H287" s="62"/>
      <c r="I287" s="67">
        <f>SUM(I288:J301)</f>
        <v>182255</v>
      </c>
      <c r="J287" s="62"/>
      <c r="K287" s="67">
        <f>SUM(K288:L301)</f>
        <v>131559</v>
      </c>
      <c r="L287" s="62"/>
      <c r="M287" s="67">
        <f>SUM(M288:M301)</f>
        <v>16415</v>
      </c>
      <c r="N287" s="72"/>
      <c r="O287" s="67">
        <f t="shared" ref="O287:O306" si="11">SUM(E287:N287)</f>
        <v>663812</v>
      </c>
      <c r="P287" s="72"/>
      <c r="Q287" s="35"/>
    </row>
    <row r="288">
      <c r="A288" s="45"/>
      <c r="B288" s="45"/>
      <c r="C288" s="70"/>
      <c r="D288" s="77" t="s">
        <v>20</v>
      </c>
      <c r="E288" s="79">
        <v>0.0</v>
      </c>
      <c r="F288" s="75"/>
      <c r="G288" s="81">
        <f>270130-75065</f>
        <v>195065</v>
      </c>
      <c r="H288" s="75"/>
      <c r="I288" s="81">
        <v>0.0</v>
      </c>
      <c r="J288" s="75"/>
      <c r="K288" s="81">
        <v>0.0</v>
      </c>
      <c r="L288" s="75"/>
      <c r="M288" s="81">
        <v>0.0</v>
      </c>
      <c r="N288" s="80"/>
      <c r="O288" s="83">
        <f t="shared" si="11"/>
        <v>195065</v>
      </c>
      <c r="P288" s="80"/>
      <c r="Q288" s="35"/>
    </row>
    <row r="289">
      <c r="A289" s="45"/>
      <c r="B289" s="45"/>
      <c r="C289" s="70"/>
      <c r="D289" s="77" t="s">
        <v>21</v>
      </c>
      <c r="E289" s="81">
        <f>5862+2913+980+600+459+6700</f>
        <v>17514</v>
      </c>
      <c r="F289" s="75"/>
      <c r="G289" s="79">
        <f>799+735+3406+2697+1250</f>
        <v>8887</v>
      </c>
      <c r="H289" s="75"/>
      <c r="I289" s="81">
        <f>2684+5666+1735+3147+2957+599</f>
        <v>16788</v>
      </c>
      <c r="J289" s="75"/>
      <c r="K289" s="81">
        <f>2568+230+8300+5037+2297+899+1398</f>
        <v>20729</v>
      </c>
      <c r="L289" s="75"/>
      <c r="M289" s="81">
        <f>2926+4055+459+3395</f>
        <v>10835</v>
      </c>
      <c r="N289" s="80"/>
      <c r="O289" s="83">
        <f t="shared" si="11"/>
        <v>74753</v>
      </c>
      <c r="P289" s="80"/>
      <c r="Q289" s="35"/>
    </row>
    <row r="290">
      <c r="A290" s="45"/>
      <c r="B290" s="45"/>
      <c r="C290" s="70"/>
      <c r="D290" s="87" t="s">
        <v>22</v>
      </c>
      <c r="E290" s="81">
        <v>0.0</v>
      </c>
      <c r="F290" s="75"/>
      <c r="G290" s="81">
        <f>490+11233+1800</f>
        <v>13523</v>
      </c>
      <c r="H290" s="75"/>
      <c r="I290" s="81">
        <v>2880.0</v>
      </c>
      <c r="J290" s="75"/>
      <c r="K290" s="81">
        <f>4256+560</f>
        <v>4816</v>
      </c>
      <c r="L290" s="75"/>
      <c r="M290" s="81">
        <v>0.0</v>
      </c>
      <c r="N290" s="80"/>
      <c r="O290" s="83">
        <f t="shared" si="11"/>
        <v>21219</v>
      </c>
      <c r="P290" s="80"/>
      <c r="Q290" s="35"/>
    </row>
    <row r="291">
      <c r="A291" s="45"/>
      <c r="B291" s="45"/>
      <c r="C291" s="70"/>
      <c r="D291" s="87" t="s">
        <v>23</v>
      </c>
      <c r="E291" s="81">
        <v>0.0</v>
      </c>
      <c r="F291" s="75"/>
      <c r="G291" s="81">
        <f>4400+(14795/2)</f>
        <v>11797.5</v>
      </c>
      <c r="H291" s="75"/>
      <c r="I291" s="79">
        <f>3725</f>
        <v>3725</v>
      </c>
      <c r="J291" s="75"/>
      <c r="K291" s="81">
        <f>3025+8035+(5710/2)</f>
        <v>13915</v>
      </c>
      <c r="L291" s="75"/>
      <c r="M291" s="81">
        <v>0.0</v>
      </c>
      <c r="N291" s="80"/>
      <c r="O291" s="83">
        <f t="shared" si="11"/>
        <v>29437.5</v>
      </c>
      <c r="P291" s="80"/>
      <c r="Q291" s="35"/>
    </row>
    <row r="292">
      <c r="A292" s="45"/>
      <c r="B292" s="45"/>
      <c r="C292" s="70"/>
      <c r="D292" s="77" t="s">
        <v>24</v>
      </c>
      <c r="E292" s="81">
        <f>980+2180+965</f>
        <v>4125</v>
      </c>
      <c r="F292" s="75"/>
      <c r="G292" s="81">
        <f>1000+1500+850</f>
        <v>3350</v>
      </c>
      <c r="H292" s="75"/>
      <c r="I292" s="81">
        <f>1500+1610+1000</f>
        <v>4110</v>
      </c>
      <c r="J292" s="75"/>
      <c r="K292" s="81">
        <f>1190+1000+940</f>
        <v>3130</v>
      </c>
      <c r="L292" s="75"/>
      <c r="M292" s="81">
        <f>1800+990</f>
        <v>2790</v>
      </c>
      <c r="N292" s="80"/>
      <c r="O292" s="83">
        <f t="shared" si="11"/>
        <v>17505</v>
      </c>
      <c r="P292" s="80"/>
      <c r="Q292" s="35"/>
    </row>
    <row r="293">
      <c r="A293" s="45"/>
      <c r="B293" s="45"/>
      <c r="C293" s="70"/>
      <c r="D293" s="77" t="s">
        <v>25</v>
      </c>
      <c r="E293" s="81">
        <f>1199+27680</f>
        <v>28879</v>
      </c>
      <c r="F293" s="75"/>
      <c r="G293" s="79">
        <v>0.0</v>
      </c>
      <c r="H293" s="75"/>
      <c r="I293" s="81">
        <v>0.0</v>
      </c>
      <c r="J293" s="75"/>
      <c r="K293" s="81">
        <v>0.0</v>
      </c>
      <c r="L293" s="75"/>
      <c r="M293" s="81">
        <v>0.0</v>
      </c>
      <c r="N293" s="80"/>
      <c r="O293" s="83">
        <f t="shared" si="11"/>
        <v>28879</v>
      </c>
      <c r="P293" s="80"/>
      <c r="Q293" s="35"/>
    </row>
    <row r="294">
      <c r="A294" s="45"/>
      <c r="B294" s="45"/>
      <c r="C294" s="70"/>
      <c r="D294" s="77" t="s">
        <v>26</v>
      </c>
      <c r="E294" s="81">
        <v>0.0</v>
      </c>
      <c r="F294" s="75"/>
      <c r="G294" s="81">
        <v>5500.0</v>
      </c>
      <c r="H294" s="75"/>
      <c r="I294" s="79">
        <v>0.0</v>
      </c>
      <c r="J294" s="75"/>
      <c r="K294" s="81">
        <f>180+729</f>
        <v>909</v>
      </c>
      <c r="L294" s="75"/>
      <c r="M294" s="81">
        <v>0.0</v>
      </c>
      <c r="N294" s="80"/>
      <c r="O294" s="83">
        <f t="shared" si="11"/>
        <v>6409</v>
      </c>
      <c r="P294" s="80"/>
      <c r="Q294" s="35"/>
    </row>
    <row r="295">
      <c r="A295" s="45"/>
      <c r="B295" s="45"/>
      <c r="C295" s="70"/>
      <c r="D295" s="77" t="s">
        <v>27</v>
      </c>
      <c r="E295" s="81">
        <v>0.0</v>
      </c>
      <c r="F295" s="75"/>
      <c r="G295" s="81">
        <v>0.0</v>
      </c>
      <c r="H295" s="75"/>
      <c r="I295" s="81">
        <v>0.0</v>
      </c>
      <c r="J295" s="75"/>
      <c r="K295" s="81">
        <v>0.0</v>
      </c>
      <c r="L295" s="75"/>
      <c r="M295" s="81">
        <v>0.0</v>
      </c>
      <c r="N295" s="80"/>
      <c r="O295" s="83">
        <f t="shared" si="11"/>
        <v>0</v>
      </c>
      <c r="P295" s="80"/>
      <c r="Q295" s="35"/>
    </row>
    <row r="296">
      <c r="A296" s="45"/>
      <c r="B296" s="45"/>
      <c r="C296" s="70"/>
      <c r="D296" s="77" t="s">
        <v>28</v>
      </c>
      <c r="E296" s="81">
        <v>0.0</v>
      </c>
      <c r="F296" s="75"/>
      <c r="G296" s="81">
        <v>0.0</v>
      </c>
      <c r="H296" s="75"/>
      <c r="I296" s="81">
        <v>133706.0</v>
      </c>
      <c r="J296" s="75"/>
      <c r="K296" s="81">
        <v>0.0</v>
      </c>
      <c r="L296" s="75"/>
      <c r="M296" s="79">
        <v>0.0</v>
      </c>
      <c r="N296" s="80"/>
      <c r="O296" s="83">
        <f t="shared" si="11"/>
        <v>133706</v>
      </c>
      <c r="P296" s="80"/>
      <c r="Q296" s="35"/>
    </row>
    <row r="297">
      <c r="A297" s="45"/>
      <c r="B297" s="45"/>
      <c r="C297" s="70"/>
      <c r="D297" s="77" t="s">
        <v>29</v>
      </c>
      <c r="E297" s="79">
        <v>0.0</v>
      </c>
      <c r="F297" s="75"/>
      <c r="G297" s="81">
        <v>0.0</v>
      </c>
      <c r="H297" s="75"/>
      <c r="I297" s="81">
        <v>8950.0</v>
      </c>
      <c r="J297" s="75"/>
      <c r="K297" s="81">
        <v>0.0</v>
      </c>
      <c r="L297" s="75"/>
      <c r="M297" s="83">
        <v>0.0</v>
      </c>
      <c r="N297" s="80"/>
      <c r="O297" s="83">
        <f t="shared" si="11"/>
        <v>8950</v>
      </c>
      <c r="P297" s="80"/>
      <c r="Q297" s="35"/>
    </row>
    <row r="298">
      <c r="A298" s="45"/>
      <c r="B298" s="45"/>
      <c r="C298" s="70"/>
      <c r="D298" s="77" t="s">
        <v>30</v>
      </c>
      <c r="E298" s="81">
        <v>2245.0</v>
      </c>
      <c r="F298" s="75"/>
      <c r="G298" s="81">
        <v>0.0</v>
      </c>
      <c r="H298" s="75"/>
      <c r="I298" s="81">
        <f>2790+3910</f>
        <v>6700</v>
      </c>
      <c r="J298" s="75"/>
      <c r="K298" s="81">
        <v>0.0</v>
      </c>
      <c r="L298" s="75"/>
      <c r="M298" s="81">
        <v>0.0</v>
      </c>
      <c r="N298" s="200"/>
      <c r="O298" s="83">
        <f t="shared" si="11"/>
        <v>8945</v>
      </c>
      <c r="P298" s="80"/>
      <c r="Q298" s="35"/>
    </row>
    <row r="299">
      <c r="A299" s="45"/>
      <c r="B299" s="45"/>
      <c r="C299" s="70"/>
      <c r="D299" s="89" t="s">
        <v>31</v>
      </c>
      <c r="E299" s="81">
        <f>980+965+25980</f>
        <v>27925</v>
      </c>
      <c r="F299" s="75"/>
      <c r="G299" s="81">
        <f>1000+3025+1500+(14795/2)+850</f>
        <v>13772.5</v>
      </c>
      <c r="H299" s="75"/>
      <c r="I299" s="81">
        <f>3596+1000</f>
        <v>4596</v>
      </c>
      <c r="J299" s="75"/>
      <c r="K299" s="81">
        <f>3025+14000+1190+1000+50000+990+15000+(5710/2)</f>
        <v>88060</v>
      </c>
      <c r="L299" s="75"/>
      <c r="M299" s="81">
        <f>1800+990</f>
        <v>2790</v>
      </c>
      <c r="N299" s="80"/>
      <c r="O299" s="217">
        <f t="shared" si="11"/>
        <v>137143.5</v>
      </c>
      <c r="P299" s="80"/>
      <c r="Q299" s="35"/>
    </row>
    <row r="300">
      <c r="A300" s="45"/>
      <c r="B300" s="45"/>
      <c r="C300" s="70"/>
      <c r="D300" s="77" t="s">
        <v>32</v>
      </c>
      <c r="E300" s="81">
        <v>0.0</v>
      </c>
      <c r="F300" s="75"/>
      <c r="G300" s="81">
        <v>0.0</v>
      </c>
      <c r="H300" s="75"/>
      <c r="I300" s="81">
        <v>0.0</v>
      </c>
      <c r="J300" s="75"/>
      <c r="K300" s="81">
        <v>0.0</v>
      </c>
      <c r="L300" s="75"/>
      <c r="M300" s="81">
        <v>0.0</v>
      </c>
      <c r="N300" s="80"/>
      <c r="O300" s="83">
        <f t="shared" si="11"/>
        <v>0</v>
      </c>
      <c r="P300" s="80"/>
      <c r="Q300" s="35"/>
    </row>
    <row r="301">
      <c r="A301" s="45"/>
      <c r="B301" s="45"/>
      <c r="C301" s="70"/>
      <c r="D301" s="77" t="s">
        <v>33</v>
      </c>
      <c r="E301" s="81">
        <v>0.0</v>
      </c>
      <c r="F301" s="75"/>
      <c r="G301" s="79">
        <v>1000.0</v>
      </c>
      <c r="H301" s="75"/>
      <c r="I301" s="81">
        <v>800.0</v>
      </c>
      <c r="J301" s="75"/>
      <c r="K301" s="81">
        <v>0.0</v>
      </c>
      <c r="L301" s="75"/>
      <c r="M301" s="81">
        <v>0.0</v>
      </c>
      <c r="N301" s="80"/>
      <c r="O301" s="83">
        <f t="shared" si="11"/>
        <v>1800</v>
      </c>
      <c r="P301" s="80"/>
      <c r="Q301" s="35"/>
    </row>
    <row r="302">
      <c r="A302" s="45"/>
      <c r="B302" s="45"/>
      <c r="C302" s="93"/>
      <c r="D302" s="94" t="s">
        <v>34</v>
      </c>
      <c r="E302" s="95">
        <f>SUM(E303:F306)</f>
        <v>947255</v>
      </c>
      <c r="F302" s="75"/>
      <c r="G302" s="95">
        <f>SUM(G303:G306)</f>
        <v>54663</v>
      </c>
      <c r="H302" s="75"/>
      <c r="I302" s="95">
        <f>SUM(I303:I306)</f>
        <v>0</v>
      </c>
      <c r="J302" s="75"/>
      <c r="K302" s="95">
        <f>SUM(K303:K306)</f>
        <v>0</v>
      </c>
      <c r="L302" s="75"/>
      <c r="M302" s="95">
        <f>SUM(M303:M306)</f>
        <v>0</v>
      </c>
      <c r="N302" s="93"/>
      <c r="O302" s="95">
        <f t="shared" si="11"/>
        <v>1001918</v>
      </c>
      <c r="P302" s="93"/>
      <c r="Q302" s="35"/>
    </row>
    <row r="303">
      <c r="A303" s="45"/>
      <c r="B303" s="45"/>
      <c r="C303" s="98"/>
      <c r="D303" s="77" t="s">
        <v>35</v>
      </c>
      <c r="E303" s="81">
        <v>944335.0</v>
      </c>
      <c r="F303" s="75"/>
      <c r="G303" s="81">
        <v>0.0</v>
      </c>
      <c r="H303" s="75"/>
      <c r="I303" s="81"/>
      <c r="J303" s="83">
        <v>0.0</v>
      </c>
      <c r="K303" s="83">
        <v>0.0</v>
      </c>
      <c r="L303" s="75"/>
      <c r="M303" s="83">
        <v>0.0</v>
      </c>
      <c r="N303" s="80"/>
      <c r="O303" s="83">
        <f t="shared" si="11"/>
        <v>944335</v>
      </c>
      <c r="P303" s="80"/>
      <c r="Q303" s="35"/>
    </row>
    <row r="304">
      <c r="A304" s="45"/>
      <c r="B304" s="45"/>
      <c r="C304" s="98"/>
      <c r="D304" s="77" t="s">
        <v>36</v>
      </c>
      <c r="E304" s="81">
        <v>0.0</v>
      </c>
      <c r="F304" s="75"/>
      <c r="G304" s="102"/>
      <c r="H304" s="83">
        <v>0.0</v>
      </c>
      <c r="I304" s="102"/>
      <c r="J304" s="83">
        <v>0.0</v>
      </c>
      <c r="K304" s="102"/>
      <c r="L304" s="83">
        <v>0.0</v>
      </c>
      <c r="M304" s="83">
        <v>0.0</v>
      </c>
      <c r="N304" s="80"/>
      <c r="O304" s="83">
        <f t="shared" si="11"/>
        <v>0</v>
      </c>
      <c r="P304" s="80"/>
      <c r="Q304" s="35"/>
    </row>
    <row r="305">
      <c r="A305" s="45"/>
      <c r="B305" s="45"/>
      <c r="C305" s="98"/>
      <c r="D305" s="77" t="s">
        <v>37</v>
      </c>
      <c r="E305" s="83">
        <v>0.0</v>
      </c>
      <c r="F305" s="75"/>
      <c r="G305" s="83">
        <v>0.0</v>
      </c>
      <c r="H305" s="75"/>
      <c r="I305" s="83">
        <v>0.0</v>
      </c>
      <c r="J305" s="75"/>
      <c r="K305" s="83">
        <v>0.0</v>
      </c>
      <c r="L305" s="75"/>
      <c r="M305" s="83">
        <v>0.0</v>
      </c>
      <c r="N305" s="80"/>
      <c r="O305" s="83">
        <f t="shared" si="11"/>
        <v>0</v>
      </c>
      <c r="P305" s="80"/>
      <c r="Q305" s="35"/>
    </row>
    <row r="306">
      <c r="A306" s="45"/>
      <c r="B306" s="45"/>
      <c r="C306" s="109"/>
      <c r="D306" s="110" t="s">
        <v>33</v>
      </c>
      <c r="E306" s="113">
        <f>2920</f>
        <v>2920</v>
      </c>
      <c r="F306" s="112"/>
      <c r="G306" s="113">
        <f>20000+19663+15000</f>
        <v>54663</v>
      </c>
      <c r="H306" s="112"/>
      <c r="I306" s="113">
        <v>0.0</v>
      </c>
      <c r="J306" s="112"/>
      <c r="K306" s="113">
        <v>0.0</v>
      </c>
      <c r="L306" s="112"/>
      <c r="M306" s="111">
        <v>0.0</v>
      </c>
      <c r="N306" s="114"/>
      <c r="O306" s="111">
        <f t="shared" si="11"/>
        <v>57583</v>
      </c>
      <c r="P306" s="114"/>
      <c r="Q306" s="35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</row>
    <row r="308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6"/>
      <c r="O308" s="116"/>
      <c r="P308" s="116"/>
      <c r="Q308" s="19"/>
    </row>
    <row r="309">
      <c r="A309" s="215"/>
      <c r="B309" s="216"/>
      <c r="C309" s="13"/>
      <c r="D309" s="13"/>
      <c r="E309" s="13"/>
      <c r="F309" s="5"/>
      <c r="G309" s="5"/>
      <c r="H309" s="3" t="str">
        <f t="array" ref="H309">(INDIRECT("I" &amp; ROW() + 1)/INDIRECT("D" &amp; ROW() + 1))</f>
        <v>#DIV/0!</v>
      </c>
      <c r="J309" s="5"/>
      <c r="K309" s="4">
        <f t="array" ref="K309">(1 - INDIRECT("I" &amp; ROW()))</f>
        <v>1</v>
      </c>
      <c r="M309" s="5"/>
      <c r="N309" s="5"/>
      <c r="O309" s="5"/>
      <c r="P309" s="5"/>
      <c r="Q309" s="5"/>
    </row>
    <row r="310">
      <c r="A310" s="26"/>
      <c r="B310" s="1"/>
      <c r="C310" s="8">
        <f>O330</f>
        <v>1022998</v>
      </c>
      <c r="F310" s="5"/>
      <c r="H310" s="27">
        <f>O315</f>
        <v>778719.18</v>
      </c>
      <c r="J310" s="5"/>
      <c r="K310" s="32">
        <f>C310-H310</f>
        <v>244278.82</v>
      </c>
      <c r="M310" s="34">
        <v>1.0</v>
      </c>
      <c r="O310" s="5"/>
      <c r="P310" s="5"/>
      <c r="Q310" s="5"/>
    </row>
    <row r="311">
      <c r="A311" s="37"/>
      <c r="B311" s="37"/>
      <c r="C311" s="40" t="s">
        <v>1</v>
      </c>
      <c r="D311" s="42"/>
      <c r="E311" s="42"/>
      <c r="F311" s="42"/>
      <c r="G311" s="42"/>
      <c r="H311" s="40" t="s">
        <v>2</v>
      </c>
      <c r="I311" s="42"/>
      <c r="J311" s="18"/>
      <c r="K311" s="40" t="s">
        <v>3</v>
      </c>
      <c r="L311" s="42"/>
      <c r="M311" s="44" t="s">
        <v>14</v>
      </c>
      <c r="N311" s="42"/>
      <c r="O311" s="18"/>
      <c r="P311" s="18"/>
      <c r="Q311" s="18"/>
    </row>
    <row r="312">
      <c r="A312" s="19"/>
      <c r="B312" s="19"/>
      <c r="C312" s="19"/>
      <c r="D312" s="19"/>
      <c r="E312" s="19" t="s">
        <v>4</v>
      </c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</row>
    <row r="313">
      <c r="A313" s="45"/>
      <c r="B313" s="45"/>
      <c r="C313" s="198" t="s">
        <v>64</v>
      </c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9"/>
    </row>
    <row r="314">
      <c r="A314" s="45"/>
      <c r="B314" s="45"/>
      <c r="C314" s="29"/>
      <c r="D314" s="54" t="s">
        <v>6</v>
      </c>
      <c r="E314" s="57" t="s">
        <v>15</v>
      </c>
      <c r="G314" s="57" t="s">
        <v>16</v>
      </c>
      <c r="I314" s="57" t="s">
        <v>17</v>
      </c>
      <c r="K314" s="57" t="s">
        <v>18</v>
      </c>
      <c r="M314" s="57" t="s">
        <v>19</v>
      </c>
      <c r="N314" s="29"/>
      <c r="O314" s="57" t="s">
        <v>12</v>
      </c>
      <c r="P314" s="29"/>
      <c r="Q314" s="35"/>
    </row>
    <row r="315">
      <c r="A315" s="45"/>
      <c r="B315" s="45"/>
      <c r="C315" s="55"/>
      <c r="D315" s="64" t="s">
        <v>13</v>
      </c>
      <c r="E315" s="67">
        <f>SUM(E316:F329)</f>
        <v>136234</v>
      </c>
      <c r="F315" s="62"/>
      <c r="G315" s="67">
        <f>SUM(G316:H329)</f>
        <v>324828.88</v>
      </c>
      <c r="H315" s="62"/>
      <c r="I315" s="67">
        <f>SUM(I316:J329)</f>
        <v>117172.3</v>
      </c>
      <c r="J315" s="62"/>
      <c r="K315" s="67">
        <f>SUM(K316:L329)</f>
        <v>171255</v>
      </c>
      <c r="L315" s="62"/>
      <c r="M315" s="67">
        <f>SUM(M316:M329)</f>
        <v>29229</v>
      </c>
      <c r="N315" s="72"/>
      <c r="O315" s="67">
        <f t="shared" ref="O315:O334" si="12">SUM(E315:N315)</f>
        <v>778719.18</v>
      </c>
      <c r="P315" s="72"/>
      <c r="Q315" s="35"/>
    </row>
    <row r="316">
      <c r="A316" s="45"/>
      <c r="B316" s="45"/>
      <c r="C316" s="70"/>
      <c r="D316" s="77" t="s">
        <v>20</v>
      </c>
      <c r="E316" s="79">
        <v>0.0</v>
      </c>
      <c r="F316" s="75"/>
      <c r="G316" s="81">
        <f>279671-79836</f>
        <v>199835</v>
      </c>
      <c r="H316" s="75"/>
      <c r="I316" s="81">
        <v>0.0</v>
      </c>
      <c r="J316" s="75"/>
      <c r="K316" s="81">
        <v>0.0</v>
      </c>
      <c r="L316" s="75"/>
      <c r="M316" s="81">
        <v>0.0</v>
      </c>
      <c r="N316" s="80"/>
      <c r="O316" s="83">
        <f t="shared" si="12"/>
        <v>199835</v>
      </c>
      <c r="P316" s="80"/>
      <c r="Q316" s="35"/>
    </row>
    <row r="317">
      <c r="A317" s="45"/>
      <c r="B317" s="45"/>
      <c r="C317" s="70"/>
      <c r="D317" s="77" t="s">
        <v>21</v>
      </c>
      <c r="E317" s="81">
        <f>1461+2173+173+1248+2321</f>
        <v>7376</v>
      </c>
      <c r="F317" s="75"/>
      <c r="G317" s="79">
        <f>975+3447+6795+798</f>
        <v>12015</v>
      </c>
      <c r="H317" s="75"/>
      <c r="I317" s="81">
        <f>4928+6540+3905</f>
        <v>15373</v>
      </c>
      <c r="J317" s="75"/>
      <c r="K317" s="81">
        <f>799+1423+5934+1374+1991+5446</f>
        <v>16967</v>
      </c>
      <c r="L317" s="75"/>
      <c r="M317" s="81">
        <f>915+1120+1090+2169+867+500+724+2258+1106+1920+7808</f>
        <v>20477</v>
      </c>
      <c r="N317" s="80"/>
      <c r="O317" s="83">
        <f t="shared" si="12"/>
        <v>72208</v>
      </c>
      <c r="P317" s="80"/>
      <c r="Q317" s="35"/>
    </row>
    <row r="318">
      <c r="A318" s="45"/>
      <c r="B318" s="45"/>
      <c r="C318" s="70"/>
      <c r="D318" s="87" t="s">
        <v>22</v>
      </c>
      <c r="E318" s="81">
        <v>990.0</v>
      </c>
      <c r="F318" s="75"/>
      <c r="G318" s="81">
        <f>1198+3200</f>
        <v>4398</v>
      </c>
      <c r="H318" s="75"/>
      <c r="I318" s="81">
        <f>1548+865</f>
        <v>2413</v>
      </c>
      <c r="J318" s="75"/>
      <c r="K318" s="81">
        <v>0.0</v>
      </c>
      <c r="L318" s="75"/>
      <c r="M318" s="81">
        <v>0.0</v>
      </c>
      <c r="N318" s="80"/>
      <c r="O318" s="83">
        <f t="shared" si="12"/>
        <v>7801</v>
      </c>
      <c r="P318" s="80"/>
      <c r="Q318" s="35"/>
    </row>
    <row r="319">
      <c r="A319" s="45"/>
      <c r="B319" s="45"/>
      <c r="C319" s="70"/>
      <c r="D319" s="87" t="s">
        <v>23</v>
      </c>
      <c r="E319" s="81">
        <v>0.0</v>
      </c>
      <c r="F319" s="75"/>
      <c r="G319" s="81">
        <f>(7980/2)+3490</f>
        <v>7480</v>
      </c>
      <c r="H319" s="75"/>
      <c r="I319" s="79">
        <f>2890</f>
        <v>2890</v>
      </c>
      <c r="J319" s="75"/>
      <c r="K319" s="81">
        <f>(10998/2)</f>
        <v>5499</v>
      </c>
      <c r="L319" s="75"/>
      <c r="M319" s="81">
        <v>0.0</v>
      </c>
      <c r="N319" s="80"/>
      <c r="O319" s="83">
        <f t="shared" si="12"/>
        <v>15869</v>
      </c>
      <c r="P319" s="80"/>
      <c r="Q319" s="35"/>
    </row>
    <row r="320">
      <c r="A320" s="45"/>
      <c r="B320" s="45"/>
      <c r="C320" s="70"/>
      <c r="D320" s="77" t="s">
        <v>24</v>
      </c>
      <c r="E320" s="81">
        <f>1350+1000+900+1140</f>
        <v>4390</v>
      </c>
      <c r="F320" s="75"/>
      <c r="G320" s="81">
        <f>1000+1090</f>
        <v>2090</v>
      </c>
      <c r="H320" s="75"/>
      <c r="I320" s="81">
        <v>1150.0</v>
      </c>
      <c r="J320" s="75"/>
      <c r="K320" s="81">
        <v>1100.0</v>
      </c>
      <c r="L320" s="75"/>
      <c r="M320" s="81">
        <v>0.0</v>
      </c>
      <c r="N320" s="80"/>
      <c r="O320" s="83">
        <f t="shared" si="12"/>
        <v>8730</v>
      </c>
      <c r="P320" s="80"/>
      <c r="Q320" s="35"/>
    </row>
    <row r="321">
      <c r="A321" s="45"/>
      <c r="B321" s="45"/>
      <c r="C321" s="70"/>
      <c r="D321" s="77" t="s">
        <v>25</v>
      </c>
      <c r="E321" s="81">
        <v>0.0</v>
      </c>
      <c r="F321" s="75"/>
      <c r="G321" s="79">
        <v>0.0</v>
      </c>
      <c r="H321" s="75"/>
      <c r="I321" s="81">
        <v>0.0</v>
      </c>
      <c r="J321" s="75"/>
      <c r="K321" s="81">
        <v>0.0</v>
      </c>
      <c r="L321" s="75"/>
      <c r="M321" s="81">
        <v>8752.0</v>
      </c>
      <c r="N321" s="80"/>
      <c r="O321" s="83">
        <f t="shared" si="12"/>
        <v>8752</v>
      </c>
      <c r="P321" s="80"/>
      <c r="Q321" s="35"/>
    </row>
    <row r="322">
      <c r="A322" s="45"/>
      <c r="B322" s="45"/>
      <c r="C322" s="70"/>
      <c r="D322" s="77" t="s">
        <v>26</v>
      </c>
      <c r="E322" s="81">
        <v>0.0</v>
      </c>
      <c r="F322" s="75"/>
      <c r="G322" s="81">
        <f>5500</f>
        <v>5500</v>
      </c>
      <c r="H322" s="75"/>
      <c r="I322" s="79">
        <v>0.0</v>
      </c>
      <c r="J322" s="75"/>
      <c r="K322" s="81">
        <v>0.0</v>
      </c>
      <c r="L322" s="75"/>
      <c r="M322" s="81">
        <v>0.0</v>
      </c>
      <c r="N322" s="80"/>
      <c r="O322" s="83">
        <f t="shared" si="12"/>
        <v>5500</v>
      </c>
      <c r="P322" s="80"/>
      <c r="Q322" s="35"/>
    </row>
    <row r="323">
      <c r="A323" s="45"/>
      <c r="B323" s="45"/>
      <c r="C323" s="70"/>
      <c r="D323" s="77" t="s">
        <v>27</v>
      </c>
      <c r="E323" s="81">
        <v>31992.0</v>
      </c>
      <c r="F323" s="75"/>
      <c r="G323" s="81">
        <v>8995.0</v>
      </c>
      <c r="H323" s="75"/>
      <c r="I323" s="81">
        <v>0.0</v>
      </c>
      <c r="J323" s="75"/>
      <c r="K323" s="81">
        <v>26990.0</v>
      </c>
      <c r="L323" s="75"/>
      <c r="M323" s="81">
        <v>0.0</v>
      </c>
      <c r="N323" s="80"/>
      <c r="O323" s="83">
        <f t="shared" si="12"/>
        <v>67977</v>
      </c>
      <c r="P323" s="80"/>
      <c r="Q323" s="35"/>
    </row>
    <row r="324">
      <c r="A324" s="45"/>
      <c r="B324" s="45"/>
      <c r="C324" s="70"/>
      <c r="D324" s="77" t="s">
        <v>28</v>
      </c>
      <c r="E324" s="81">
        <f>29648+25203</f>
        <v>54851</v>
      </c>
      <c r="F324" s="75"/>
      <c r="G324" s="81">
        <f>9338+3215+(58.05+48.15+48.66)*408</f>
        <v>75735.88</v>
      </c>
      <c r="H324" s="75"/>
      <c r="I324" s="81">
        <f>(71.78+56.4+25.74+39.64-1.93)*410+2782</f>
        <v>81350.3</v>
      </c>
      <c r="J324" s="75"/>
      <c r="K324" s="81">
        <v>0.0</v>
      </c>
      <c r="L324" s="75"/>
      <c r="M324" s="79">
        <v>0.0</v>
      </c>
      <c r="N324" s="80"/>
      <c r="O324" s="83">
        <f t="shared" si="12"/>
        <v>211937.18</v>
      </c>
      <c r="P324" s="80"/>
      <c r="Q324" s="35"/>
    </row>
    <row r="325">
      <c r="A325" s="45"/>
      <c r="B325" s="45"/>
      <c r="C325" s="70"/>
      <c r="D325" s="77" t="s">
        <v>29</v>
      </c>
      <c r="E325" s="79">
        <v>0.0</v>
      </c>
      <c r="F325" s="75"/>
      <c r="G325" s="81">
        <v>0.0</v>
      </c>
      <c r="H325" s="75"/>
      <c r="I325" s="81">
        <v>8950.0</v>
      </c>
      <c r="J325" s="75"/>
      <c r="K325" s="81">
        <v>0.0</v>
      </c>
      <c r="L325" s="75"/>
      <c r="M325" s="83">
        <v>0.0</v>
      </c>
      <c r="N325" s="80"/>
      <c r="O325" s="83">
        <f t="shared" si="12"/>
        <v>8950</v>
      </c>
      <c r="P325" s="80"/>
      <c r="Q325" s="35"/>
    </row>
    <row r="326">
      <c r="A326" s="45"/>
      <c r="B326" s="45"/>
      <c r="C326" s="70"/>
      <c r="D326" s="77" t="s">
        <v>30</v>
      </c>
      <c r="E326" s="81">
        <v>2245.0</v>
      </c>
      <c r="F326" s="75"/>
      <c r="G326" s="81">
        <v>2790.0</v>
      </c>
      <c r="H326" s="75"/>
      <c r="I326" s="81">
        <v>3896.0</v>
      </c>
      <c r="J326" s="75"/>
      <c r="K326" s="81">
        <v>0.0</v>
      </c>
      <c r="L326" s="75"/>
      <c r="M326" s="81">
        <v>0.0</v>
      </c>
      <c r="N326" s="200"/>
      <c r="O326" s="83">
        <f t="shared" si="12"/>
        <v>8931</v>
      </c>
      <c r="P326" s="80"/>
      <c r="Q326" s="35"/>
    </row>
    <row r="327">
      <c r="A327" s="45"/>
      <c r="B327" s="45"/>
      <c r="C327" s="70"/>
      <c r="D327" s="89" t="s">
        <v>31</v>
      </c>
      <c r="E327" s="81">
        <f>1350+900+16000+15000+1140</f>
        <v>34390</v>
      </c>
      <c r="F327" s="75"/>
      <c r="G327" s="81">
        <f>1000+(7980/2)</f>
        <v>4990</v>
      </c>
      <c r="H327" s="75"/>
      <c r="I327" s="81">
        <f>1150</f>
        <v>1150</v>
      </c>
      <c r="J327" s="75"/>
      <c r="K327" s="81">
        <f>101000+13100+1100+(10998/2)</f>
        <v>120699</v>
      </c>
      <c r="L327" s="75"/>
      <c r="M327" s="81">
        <v>0.0</v>
      </c>
      <c r="N327" s="80"/>
      <c r="O327" s="217">
        <f t="shared" si="12"/>
        <v>161229</v>
      </c>
      <c r="P327" s="80"/>
      <c r="Q327" s="35"/>
    </row>
    <row r="328">
      <c r="A328" s="45"/>
      <c r="B328" s="45"/>
      <c r="C328" s="70"/>
      <c r="D328" s="77" t="s">
        <v>32</v>
      </c>
      <c r="E328" s="81">
        <v>0.0</v>
      </c>
      <c r="F328" s="75"/>
      <c r="G328" s="81">
        <v>0.0</v>
      </c>
      <c r="H328" s="75"/>
      <c r="I328" s="81">
        <v>0.0</v>
      </c>
      <c r="J328" s="75"/>
      <c r="K328" s="81">
        <v>0.0</v>
      </c>
      <c r="L328" s="75"/>
      <c r="M328" s="81">
        <v>0.0</v>
      </c>
      <c r="N328" s="80"/>
      <c r="O328" s="83">
        <f t="shared" si="12"/>
        <v>0</v>
      </c>
      <c r="P328" s="80"/>
      <c r="Q328" s="35"/>
    </row>
    <row r="329">
      <c r="A329" s="45"/>
      <c r="B329" s="45"/>
      <c r="C329" s="70"/>
      <c r="D329" s="77" t="s">
        <v>33</v>
      </c>
      <c r="E329" s="81">
        <v>0.0</v>
      </c>
      <c r="F329" s="75"/>
      <c r="G329" s="79">
        <v>1000.0</v>
      </c>
      <c r="H329" s="75"/>
      <c r="I329" s="81">
        <v>0.0</v>
      </c>
      <c r="J329" s="75"/>
      <c r="K329" s="81">
        <v>0.0</v>
      </c>
      <c r="L329" s="75"/>
      <c r="M329" s="81">
        <v>0.0</v>
      </c>
      <c r="N329" s="80"/>
      <c r="O329" s="83">
        <f t="shared" si="12"/>
        <v>1000</v>
      </c>
      <c r="P329" s="80"/>
      <c r="Q329" s="35"/>
    </row>
    <row r="330">
      <c r="A330" s="45"/>
      <c r="B330" s="45"/>
      <c r="C330" s="93"/>
      <c r="D330" s="94" t="s">
        <v>34</v>
      </c>
      <c r="E330" s="95">
        <f>SUM(E331:F334)</f>
        <v>952998</v>
      </c>
      <c r="F330" s="75"/>
      <c r="G330" s="95">
        <f>SUM(G331:G334)</f>
        <v>0</v>
      </c>
      <c r="H330" s="75"/>
      <c r="I330" s="95">
        <f>SUM(I331:I334)</f>
        <v>70000</v>
      </c>
      <c r="J330" s="75"/>
      <c r="K330" s="95">
        <f>SUM(K331:K334)</f>
        <v>0</v>
      </c>
      <c r="L330" s="75"/>
      <c r="M330" s="95">
        <f>SUM(M331:M334)</f>
        <v>0</v>
      </c>
      <c r="N330" s="93"/>
      <c r="O330" s="95">
        <f t="shared" si="12"/>
        <v>1022998</v>
      </c>
      <c r="P330" s="93"/>
      <c r="Q330" s="35"/>
    </row>
    <row r="331">
      <c r="A331" s="45"/>
      <c r="B331" s="45"/>
      <c r="C331" s="98"/>
      <c r="D331" s="77" t="s">
        <v>35</v>
      </c>
      <c r="E331" s="81">
        <v>944335.0</v>
      </c>
      <c r="F331" s="75"/>
      <c r="G331" s="81">
        <v>0.0</v>
      </c>
      <c r="H331" s="75"/>
      <c r="I331" s="81"/>
      <c r="J331" s="83">
        <v>0.0</v>
      </c>
      <c r="K331" s="83">
        <v>0.0</v>
      </c>
      <c r="L331" s="75"/>
      <c r="M331" s="83">
        <v>0.0</v>
      </c>
      <c r="N331" s="80"/>
      <c r="O331" s="83">
        <f t="shared" si="12"/>
        <v>944335</v>
      </c>
      <c r="P331" s="80"/>
      <c r="Q331" s="35"/>
    </row>
    <row r="332">
      <c r="A332" s="45"/>
      <c r="B332" s="45"/>
      <c r="C332" s="98"/>
      <c r="D332" s="77" t="s">
        <v>36</v>
      </c>
      <c r="E332" s="81">
        <v>0.0</v>
      </c>
      <c r="F332" s="75"/>
      <c r="G332" s="102"/>
      <c r="H332" s="83">
        <v>0.0</v>
      </c>
      <c r="I332" s="102"/>
      <c r="J332" s="83">
        <v>0.0</v>
      </c>
      <c r="K332" s="102"/>
      <c r="L332" s="83">
        <v>0.0</v>
      </c>
      <c r="M332" s="83">
        <v>0.0</v>
      </c>
      <c r="N332" s="80"/>
      <c r="O332" s="83">
        <f t="shared" si="12"/>
        <v>0</v>
      </c>
      <c r="P332" s="80"/>
      <c r="Q332" s="35"/>
    </row>
    <row r="333">
      <c r="A333" s="45"/>
      <c r="B333" s="45"/>
      <c r="C333" s="98"/>
      <c r="D333" s="77" t="s">
        <v>37</v>
      </c>
      <c r="E333" s="83">
        <v>0.0</v>
      </c>
      <c r="F333" s="75"/>
      <c r="G333" s="83">
        <v>0.0</v>
      </c>
      <c r="H333" s="75"/>
      <c r="I333" s="81">
        <v>70000.0</v>
      </c>
      <c r="J333" s="75"/>
      <c r="K333" s="83">
        <v>0.0</v>
      </c>
      <c r="L333" s="75"/>
      <c r="M333" s="83">
        <v>0.0</v>
      </c>
      <c r="N333" s="80"/>
      <c r="O333" s="83">
        <f t="shared" si="12"/>
        <v>70000</v>
      </c>
      <c r="P333" s="80"/>
      <c r="Q333" s="35"/>
    </row>
    <row r="334">
      <c r="A334" s="45"/>
      <c r="B334" s="45"/>
      <c r="C334" s="109"/>
      <c r="D334" s="110" t="s">
        <v>33</v>
      </c>
      <c r="E334" s="113">
        <v>8663.0</v>
      </c>
      <c r="F334" s="112"/>
      <c r="G334" s="113">
        <v>0.0</v>
      </c>
      <c r="H334" s="112"/>
      <c r="I334" s="113">
        <v>0.0</v>
      </c>
      <c r="J334" s="112"/>
      <c r="K334" s="113">
        <v>0.0</v>
      </c>
      <c r="L334" s="112"/>
      <c r="M334" s="111">
        <v>0.0</v>
      </c>
      <c r="N334" s="114"/>
      <c r="O334" s="111">
        <f t="shared" si="12"/>
        <v>8663</v>
      </c>
      <c r="P334" s="114"/>
      <c r="Q334" s="35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</row>
    <row r="336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6"/>
      <c r="O336" s="116"/>
      <c r="P336" s="116"/>
      <c r="Q336" s="19"/>
    </row>
  </sheetData>
  <mergeCells count="1141">
    <mergeCell ref="E16:F16"/>
    <mergeCell ref="G16:H16"/>
    <mergeCell ref="I16:J16"/>
    <mergeCell ref="K16:L16"/>
    <mergeCell ref="G17:H17"/>
    <mergeCell ref="I17:J17"/>
    <mergeCell ref="K17:L17"/>
    <mergeCell ref="E17:F17"/>
    <mergeCell ref="E18:F18"/>
    <mergeCell ref="G18:H18"/>
    <mergeCell ref="I18:J18"/>
    <mergeCell ref="K18:L18"/>
    <mergeCell ref="E19:F19"/>
    <mergeCell ref="G19:H19"/>
    <mergeCell ref="G7:H7"/>
    <mergeCell ref="I7:J7"/>
    <mergeCell ref="E8:F8"/>
    <mergeCell ref="G8:H8"/>
    <mergeCell ref="I8:J8"/>
    <mergeCell ref="K8:L8"/>
    <mergeCell ref="K9:L9"/>
    <mergeCell ref="E9:F9"/>
    <mergeCell ref="E10:F10"/>
    <mergeCell ref="G10:H10"/>
    <mergeCell ref="I10:J10"/>
    <mergeCell ref="K10:L10"/>
    <mergeCell ref="E11:F11"/>
    <mergeCell ref="G11:H11"/>
    <mergeCell ref="E12:F12"/>
    <mergeCell ref="G12:H12"/>
    <mergeCell ref="I12:J12"/>
    <mergeCell ref="K12:L12"/>
    <mergeCell ref="G13:H13"/>
    <mergeCell ref="I13:J13"/>
    <mergeCell ref="K13:L13"/>
    <mergeCell ref="I15:J15"/>
    <mergeCell ref="K15:L15"/>
    <mergeCell ref="E13:F13"/>
    <mergeCell ref="E14:F14"/>
    <mergeCell ref="G14:H14"/>
    <mergeCell ref="I14:J14"/>
    <mergeCell ref="K14:L14"/>
    <mergeCell ref="E15:F15"/>
    <mergeCell ref="G15:H15"/>
    <mergeCell ref="I19:J19"/>
    <mergeCell ref="K19:L19"/>
    <mergeCell ref="E26:F26"/>
    <mergeCell ref="G26:H26"/>
    <mergeCell ref="I26:J26"/>
    <mergeCell ref="K26:L26"/>
    <mergeCell ref="I23:J23"/>
    <mergeCell ref="K23:L23"/>
    <mergeCell ref="E24:F24"/>
    <mergeCell ref="E25:F25"/>
    <mergeCell ref="G25:H25"/>
    <mergeCell ref="I25:J25"/>
    <mergeCell ref="K25:L25"/>
    <mergeCell ref="E41:F41"/>
    <mergeCell ref="E42:F42"/>
    <mergeCell ref="G42:H42"/>
    <mergeCell ref="I42:J42"/>
    <mergeCell ref="K42:L42"/>
    <mergeCell ref="E43:F43"/>
    <mergeCell ref="G43:H43"/>
    <mergeCell ref="E44:F44"/>
    <mergeCell ref="G44:H44"/>
    <mergeCell ref="I44:J44"/>
    <mergeCell ref="K44:L44"/>
    <mergeCell ref="G45:H45"/>
    <mergeCell ref="I45:J45"/>
    <mergeCell ref="K45:L45"/>
    <mergeCell ref="I47:J47"/>
    <mergeCell ref="K47:L47"/>
    <mergeCell ref="E45:F45"/>
    <mergeCell ref="E46:F46"/>
    <mergeCell ref="G46:H46"/>
    <mergeCell ref="I46:J46"/>
    <mergeCell ref="K46:L46"/>
    <mergeCell ref="E47:F47"/>
    <mergeCell ref="G47:H47"/>
    <mergeCell ref="G37:H37"/>
    <mergeCell ref="I37:J37"/>
    <mergeCell ref="G35:H35"/>
    <mergeCell ref="I35:J35"/>
    <mergeCell ref="E36:F36"/>
    <mergeCell ref="G36:H36"/>
    <mergeCell ref="I36:J36"/>
    <mergeCell ref="K36:L36"/>
    <mergeCell ref="K37:L37"/>
    <mergeCell ref="I39:J39"/>
    <mergeCell ref="K39:L39"/>
    <mergeCell ref="E37:F37"/>
    <mergeCell ref="E38:F38"/>
    <mergeCell ref="G38:H38"/>
    <mergeCell ref="I38:J38"/>
    <mergeCell ref="K38:L38"/>
    <mergeCell ref="E39:F39"/>
    <mergeCell ref="G39:H39"/>
    <mergeCell ref="E40:F40"/>
    <mergeCell ref="G40:H40"/>
    <mergeCell ref="I40:J40"/>
    <mergeCell ref="K40:L40"/>
    <mergeCell ref="G41:H41"/>
    <mergeCell ref="I41:J41"/>
    <mergeCell ref="K41:L41"/>
    <mergeCell ref="I43:J43"/>
    <mergeCell ref="K43:L43"/>
    <mergeCell ref="E54:F54"/>
    <mergeCell ref="G54:H54"/>
    <mergeCell ref="I54:J54"/>
    <mergeCell ref="K54:L54"/>
    <mergeCell ref="I51:J51"/>
    <mergeCell ref="K51:L51"/>
    <mergeCell ref="E52:F52"/>
    <mergeCell ref="E53:F53"/>
    <mergeCell ref="G53:H53"/>
    <mergeCell ref="I53:J53"/>
    <mergeCell ref="K53:L53"/>
    <mergeCell ref="O2:O3"/>
    <mergeCell ref="P2:P3"/>
    <mergeCell ref="Q2:Q3"/>
    <mergeCell ref="K2:L2"/>
    <mergeCell ref="K3:L3"/>
    <mergeCell ref="D2:E2"/>
    <mergeCell ref="F2:G3"/>
    <mergeCell ref="H2:I2"/>
    <mergeCell ref="J2:J3"/>
    <mergeCell ref="M2:N2"/>
    <mergeCell ref="H3:I3"/>
    <mergeCell ref="M3:N3"/>
    <mergeCell ref="C5:P5"/>
    <mergeCell ref="E6:F6"/>
    <mergeCell ref="G6:H6"/>
    <mergeCell ref="I6:J6"/>
    <mergeCell ref="K6:L6"/>
    <mergeCell ref="E7:F7"/>
    <mergeCell ref="K7:L7"/>
    <mergeCell ref="G9:H9"/>
    <mergeCell ref="I9:J9"/>
    <mergeCell ref="I11:J11"/>
    <mergeCell ref="K11:L11"/>
    <mergeCell ref="C3:E3"/>
    <mergeCell ref="E20:F20"/>
    <mergeCell ref="G20:H20"/>
    <mergeCell ref="I20:J20"/>
    <mergeCell ref="K20:L20"/>
    <mergeCell ref="G21:H21"/>
    <mergeCell ref="I21:J21"/>
    <mergeCell ref="K21:L21"/>
    <mergeCell ref="E21:F21"/>
    <mergeCell ref="E22:F22"/>
    <mergeCell ref="G22:H22"/>
    <mergeCell ref="I22:J22"/>
    <mergeCell ref="K22:L22"/>
    <mergeCell ref="E23:F23"/>
    <mergeCell ref="G23:H23"/>
    <mergeCell ref="O30:O31"/>
    <mergeCell ref="P30:P31"/>
    <mergeCell ref="Q30:Q31"/>
    <mergeCell ref="K30:L30"/>
    <mergeCell ref="K31:L31"/>
    <mergeCell ref="D30:E30"/>
    <mergeCell ref="F30:G31"/>
    <mergeCell ref="H30:I30"/>
    <mergeCell ref="J30:J31"/>
    <mergeCell ref="M30:N30"/>
    <mergeCell ref="H31:I31"/>
    <mergeCell ref="M31:N31"/>
    <mergeCell ref="C33:P33"/>
    <mergeCell ref="E34:F34"/>
    <mergeCell ref="G34:H34"/>
    <mergeCell ref="I34:J34"/>
    <mergeCell ref="K34:L34"/>
    <mergeCell ref="E35:F35"/>
    <mergeCell ref="K35:L35"/>
    <mergeCell ref="C31:E31"/>
    <mergeCell ref="G261:H261"/>
    <mergeCell ref="I261:J261"/>
    <mergeCell ref="G259:H259"/>
    <mergeCell ref="I259:J259"/>
    <mergeCell ref="E260:F260"/>
    <mergeCell ref="G260:H260"/>
    <mergeCell ref="I260:J260"/>
    <mergeCell ref="K260:L260"/>
    <mergeCell ref="K261:L261"/>
    <mergeCell ref="I263:J263"/>
    <mergeCell ref="K263:L263"/>
    <mergeCell ref="E261:F261"/>
    <mergeCell ref="E262:F262"/>
    <mergeCell ref="G262:H262"/>
    <mergeCell ref="I262:J262"/>
    <mergeCell ref="K262:L262"/>
    <mergeCell ref="E263:F263"/>
    <mergeCell ref="G263:H263"/>
    <mergeCell ref="E264:F264"/>
    <mergeCell ref="G264:H264"/>
    <mergeCell ref="I264:J264"/>
    <mergeCell ref="K264:L264"/>
    <mergeCell ref="G265:H265"/>
    <mergeCell ref="I265:J265"/>
    <mergeCell ref="K265:L265"/>
    <mergeCell ref="I267:J267"/>
    <mergeCell ref="K267:L267"/>
    <mergeCell ref="G278:H278"/>
    <mergeCell ref="I278:J278"/>
    <mergeCell ref="H281:I281"/>
    <mergeCell ref="K281:L281"/>
    <mergeCell ref="E275:F275"/>
    <mergeCell ref="E276:F276"/>
    <mergeCell ref="E277:F277"/>
    <mergeCell ref="G277:H277"/>
    <mergeCell ref="I277:J277"/>
    <mergeCell ref="K277:L277"/>
    <mergeCell ref="E278:F278"/>
    <mergeCell ref="K278:L278"/>
    <mergeCell ref="E272:F272"/>
    <mergeCell ref="G272:H272"/>
    <mergeCell ref="I272:J272"/>
    <mergeCell ref="K272:L272"/>
    <mergeCell ref="G273:H273"/>
    <mergeCell ref="I273:J273"/>
    <mergeCell ref="K273:L273"/>
    <mergeCell ref="E273:F273"/>
    <mergeCell ref="E274:F274"/>
    <mergeCell ref="G274:H274"/>
    <mergeCell ref="I274:J274"/>
    <mergeCell ref="K274:L274"/>
    <mergeCell ref="G275:H275"/>
    <mergeCell ref="K275:L275"/>
    <mergeCell ref="O282:O283"/>
    <mergeCell ref="P282:P283"/>
    <mergeCell ref="Q282:Q283"/>
    <mergeCell ref="K282:L282"/>
    <mergeCell ref="K283:L283"/>
    <mergeCell ref="C282:E282"/>
    <mergeCell ref="F282:G283"/>
    <mergeCell ref="H282:I282"/>
    <mergeCell ref="J282:J283"/>
    <mergeCell ref="M282:N282"/>
    <mergeCell ref="H283:I283"/>
    <mergeCell ref="M283:N283"/>
    <mergeCell ref="C285:P285"/>
    <mergeCell ref="E286:F286"/>
    <mergeCell ref="G286:H286"/>
    <mergeCell ref="I286:J286"/>
    <mergeCell ref="K286:L286"/>
    <mergeCell ref="E287:F287"/>
    <mergeCell ref="K287:L287"/>
    <mergeCell ref="C283:E283"/>
    <mergeCell ref="E240:F240"/>
    <mergeCell ref="G240:H240"/>
    <mergeCell ref="I240:J240"/>
    <mergeCell ref="K240:L240"/>
    <mergeCell ref="G241:H241"/>
    <mergeCell ref="I241:J241"/>
    <mergeCell ref="K241:L241"/>
    <mergeCell ref="E241:F241"/>
    <mergeCell ref="E242:F242"/>
    <mergeCell ref="G242:H242"/>
    <mergeCell ref="I242:J242"/>
    <mergeCell ref="K242:L242"/>
    <mergeCell ref="E243:F243"/>
    <mergeCell ref="G243:H243"/>
    <mergeCell ref="G231:H231"/>
    <mergeCell ref="I231:J231"/>
    <mergeCell ref="E232:F232"/>
    <mergeCell ref="G232:H232"/>
    <mergeCell ref="I232:J232"/>
    <mergeCell ref="K232:L232"/>
    <mergeCell ref="K233:L233"/>
    <mergeCell ref="E233:F233"/>
    <mergeCell ref="E234:F234"/>
    <mergeCell ref="G234:H234"/>
    <mergeCell ref="I234:J234"/>
    <mergeCell ref="K234:L234"/>
    <mergeCell ref="E235:F235"/>
    <mergeCell ref="G235:H235"/>
    <mergeCell ref="E236:F236"/>
    <mergeCell ref="G236:H236"/>
    <mergeCell ref="I236:J236"/>
    <mergeCell ref="K236:L236"/>
    <mergeCell ref="G237:H237"/>
    <mergeCell ref="I237:J237"/>
    <mergeCell ref="K237:L237"/>
    <mergeCell ref="I239:J239"/>
    <mergeCell ref="K239:L239"/>
    <mergeCell ref="E237:F237"/>
    <mergeCell ref="E238:F238"/>
    <mergeCell ref="G238:H238"/>
    <mergeCell ref="I238:J238"/>
    <mergeCell ref="K238:L238"/>
    <mergeCell ref="E239:F239"/>
    <mergeCell ref="G239:H239"/>
    <mergeCell ref="I243:J243"/>
    <mergeCell ref="K243:L243"/>
    <mergeCell ref="G250:H250"/>
    <mergeCell ref="I250:J250"/>
    <mergeCell ref="H253:I253"/>
    <mergeCell ref="K253:L253"/>
    <mergeCell ref="E247:F247"/>
    <mergeCell ref="E248:F248"/>
    <mergeCell ref="E249:F249"/>
    <mergeCell ref="G249:H249"/>
    <mergeCell ref="I249:J249"/>
    <mergeCell ref="K249:L249"/>
    <mergeCell ref="E250:F250"/>
    <mergeCell ref="K250:L250"/>
    <mergeCell ref="E265:F265"/>
    <mergeCell ref="E266:F266"/>
    <mergeCell ref="G266:H266"/>
    <mergeCell ref="I266:J266"/>
    <mergeCell ref="K266:L266"/>
    <mergeCell ref="E267:F267"/>
    <mergeCell ref="G267:H267"/>
    <mergeCell ref="E268:F268"/>
    <mergeCell ref="G268:H268"/>
    <mergeCell ref="I268:J268"/>
    <mergeCell ref="K268:L268"/>
    <mergeCell ref="G269:H269"/>
    <mergeCell ref="I269:J269"/>
    <mergeCell ref="K269:L269"/>
    <mergeCell ref="I271:J271"/>
    <mergeCell ref="K271:L271"/>
    <mergeCell ref="E269:F269"/>
    <mergeCell ref="E270:F270"/>
    <mergeCell ref="G270:H270"/>
    <mergeCell ref="I270:J270"/>
    <mergeCell ref="K270:L270"/>
    <mergeCell ref="E271:F271"/>
    <mergeCell ref="G271:H271"/>
    <mergeCell ref="E244:F244"/>
    <mergeCell ref="G244:H244"/>
    <mergeCell ref="I244:J244"/>
    <mergeCell ref="K244:L244"/>
    <mergeCell ref="G245:H245"/>
    <mergeCell ref="I245:J245"/>
    <mergeCell ref="K245:L245"/>
    <mergeCell ref="E245:F245"/>
    <mergeCell ref="E246:F246"/>
    <mergeCell ref="G246:H246"/>
    <mergeCell ref="I246:J246"/>
    <mergeCell ref="K246:L246"/>
    <mergeCell ref="G247:H247"/>
    <mergeCell ref="K247:L247"/>
    <mergeCell ref="O254:O255"/>
    <mergeCell ref="P254:P255"/>
    <mergeCell ref="Q254:Q255"/>
    <mergeCell ref="K254:L254"/>
    <mergeCell ref="K255:L255"/>
    <mergeCell ref="C254:E254"/>
    <mergeCell ref="F254:G255"/>
    <mergeCell ref="H254:I254"/>
    <mergeCell ref="J254:J255"/>
    <mergeCell ref="M254:N254"/>
    <mergeCell ref="H255:I255"/>
    <mergeCell ref="M255:N255"/>
    <mergeCell ref="C257:P257"/>
    <mergeCell ref="E258:F258"/>
    <mergeCell ref="G258:H258"/>
    <mergeCell ref="I258:J258"/>
    <mergeCell ref="K258:L258"/>
    <mergeCell ref="E259:F259"/>
    <mergeCell ref="K259:L259"/>
    <mergeCell ref="C255:E255"/>
    <mergeCell ref="E97:F97"/>
    <mergeCell ref="E98:F98"/>
    <mergeCell ref="G98:H98"/>
    <mergeCell ref="I98:J98"/>
    <mergeCell ref="K98:L98"/>
    <mergeCell ref="E99:F99"/>
    <mergeCell ref="G99:H99"/>
    <mergeCell ref="E100:F100"/>
    <mergeCell ref="G100:H100"/>
    <mergeCell ref="I100:J100"/>
    <mergeCell ref="K100:L100"/>
    <mergeCell ref="G101:H101"/>
    <mergeCell ref="I101:J101"/>
    <mergeCell ref="K101:L101"/>
    <mergeCell ref="G93:H93"/>
    <mergeCell ref="I93:J93"/>
    <mergeCell ref="G91:H91"/>
    <mergeCell ref="I91:J91"/>
    <mergeCell ref="E92:F92"/>
    <mergeCell ref="G92:H92"/>
    <mergeCell ref="I92:J92"/>
    <mergeCell ref="K92:L92"/>
    <mergeCell ref="K93:L93"/>
    <mergeCell ref="I95:J95"/>
    <mergeCell ref="K95:L95"/>
    <mergeCell ref="E93:F93"/>
    <mergeCell ref="E94:F94"/>
    <mergeCell ref="G94:H94"/>
    <mergeCell ref="I94:J94"/>
    <mergeCell ref="K94:L94"/>
    <mergeCell ref="E95:F95"/>
    <mergeCell ref="G95:H95"/>
    <mergeCell ref="E96:F96"/>
    <mergeCell ref="G96:H96"/>
    <mergeCell ref="I96:J96"/>
    <mergeCell ref="K96:L96"/>
    <mergeCell ref="G97:H97"/>
    <mergeCell ref="I97:J97"/>
    <mergeCell ref="K97:L97"/>
    <mergeCell ref="I99:J99"/>
    <mergeCell ref="K99:L99"/>
    <mergeCell ref="E110:F110"/>
    <mergeCell ref="G110:H110"/>
    <mergeCell ref="I110:J110"/>
    <mergeCell ref="K110:L110"/>
    <mergeCell ref="I107:J107"/>
    <mergeCell ref="K107:L107"/>
    <mergeCell ref="E108:F108"/>
    <mergeCell ref="E109:F109"/>
    <mergeCell ref="G109:H109"/>
    <mergeCell ref="I109:J109"/>
    <mergeCell ref="K109:L109"/>
    <mergeCell ref="E48:F48"/>
    <mergeCell ref="G48:H48"/>
    <mergeCell ref="I48:J48"/>
    <mergeCell ref="K48:L48"/>
    <mergeCell ref="G49:H49"/>
    <mergeCell ref="I49:J49"/>
    <mergeCell ref="K49:L49"/>
    <mergeCell ref="E49:F49"/>
    <mergeCell ref="E50:F50"/>
    <mergeCell ref="G50:H50"/>
    <mergeCell ref="I50:J50"/>
    <mergeCell ref="K50:L50"/>
    <mergeCell ref="E51:F51"/>
    <mergeCell ref="G51:H51"/>
    <mergeCell ref="O58:O59"/>
    <mergeCell ref="P58:P59"/>
    <mergeCell ref="Q58:Q59"/>
    <mergeCell ref="K58:L58"/>
    <mergeCell ref="K59:L59"/>
    <mergeCell ref="D58:E58"/>
    <mergeCell ref="F58:G59"/>
    <mergeCell ref="H58:I58"/>
    <mergeCell ref="J58:J59"/>
    <mergeCell ref="M58:N58"/>
    <mergeCell ref="H59:I59"/>
    <mergeCell ref="M59:N59"/>
    <mergeCell ref="C61:P61"/>
    <mergeCell ref="E62:F62"/>
    <mergeCell ref="G62:H62"/>
    <mergeCell ref="I62:J62"/>
    <mergeCell ref="K62:L62"/>
    <mergeCell ref="E63:F63"/>
    <mergeCell ref="K63:L63"/>
    <mergeCell ref="C59:E59"/>
    <mergeCell ref="E69:F69"/>
    <mergeCell ref="E70:F70"/>
    <mergeCell ref="G70:H70"/>
    <mergeCell ref="I70:J70"/>
    <mergeCell ref="K70:L70"/>
    <mergeCell ref="E71:F71"/>
    <mergeCell ref="G71:H71"/>
    <mergeCell ref="E72:F72"/>
    <mergeCell ref="G72:H72"/>
    <mergeCell ref="I72:J72"/>
    <mergeCell ref="K72:L72"/>
    <mergeCell ref="G73:H73"/>
    <mergeCell ref="I73:J73"/>
    <mergeCell ref="K73:L73"/>
    <mergeCell ref="I75:J75"/>
    <mergeCell ref="K75:L75"/>
    <mergeCell ref="E73:F73"/>
    <mergeCell ref="E74:F74"/>
    <mergeCell ref="G74:H74"/>
    <mergeCell ref="I74:J74"/>
    <mergeCell ref="K74:L74"/>
    <mergeCell ref="E75:F75"/>
    <mergeCell ref="G75:H75"/>
    <mergeCell ref="G65:H65"/>
    <mergeCell ref="I65:J65"/>
    <mergeCell ref="G63:H63"/>
    <mergeCell ref="I63:J63"/>
    <mergeCell ref="E64:F64"/>
    <mergeCell ref="G64:H64"/>
    <mergeCell ref="I64:J64"/>
    <mergeCell ref="K64:L64"/>
    <mergeCell ref="K65:L65"/>
    <mergeCell ref="I67:J67"/>
    <mergeCell ref="K67:L67"/>
    <mergeCell ref="E65:F65"/>
    <mergeCell ref="E66:F66"/>
    <mergeCell ref="G66:H66"/>
    <mergeCell ref="I66:J66"/>
    <mergeCell ref="K66:L66"/>
    <mergeCell ref="E67:F67"/>
    <mergeCell ref="G67:H67"/>
    <mergeCell ref="E68:F68"/>
    <mergeCell ref="G68:H68"/>
    <mergeCell ref="I68:J68"/>
    <mergeCell ref="K68:L68"/>
    <mergeCell ref="G69:H69"/>
    <mergeCell ref="I69:J69"/>
    <mergeCell ref="K69:L69"/>
    <mergeCell ref="I71:J71"/>
    <mergeCell ref="K71:L71"/>
    <mergeCell ref="E82:F82"/>
    <mergeCell ref="G82:H82"/>
    <mergeCell ref="I82:J82"/>
    <mergeCell ref="K82:L82"/>
    <mergeCell ref="I79:J79"/>
    <mergeCell ref="K79:L79"/>
    <mergeCell ref="E80:F80"/>
    <mergeCell ref="E81:F81"/>
    <mergeCell ref="G81:H81"/>
    <mergeCell ref="I81:J81"/>
    <mergeCell ref="K81:L81"/>
    <mergeCell ref="E76:F76"/>
    <mergeCell ref="G76:H76"/>
    <mergeCell ref="I76:J76"/>
    <mergeCell ref="K76:L76"/>
    <mergeCell ref="G77:H77"/>
    <mergeCell ref="I77:J77"/>
    <mergeCell ref="K77:L77"/>
    <mergeCell ref="E77:F77"/>
    <mergeCell ref="E78:F78"/>
    <mergeCell ref="G78:H78"/>
    <mergeCell ref="I78:J78"/>
    <mergeCell ref="K78:L78"/>
    <mergeCell ref="E79:F79"/>
    <mergeCell ref="G79:H79"/>
    <mergeCell ref="O86:O87"/>
    <mergeCell ref="P86:P87"/>
    <mergeCell ref="Q86:Q87"/>
    <mergeCell ref="K86:L86"/>
    <mergeCell ref="K87:L87"/>
    <mergeCell ref="D86:E86"/>
    <mergeCell ref="F86:G87"/>
    <mergeCell ref="H86:I86"/>
    <mergeCell ref="J86:J87"/>
    <mergeCell ref="M86:N86"/>
    <mergeCell ref="H87:I87"/>
    <mergeCell ref="M87:N87"/>
    <mergeCell ref="C89:P89"/>
    <mergeCell ref="E90:F90"/>
    <mergeCell ref="G90:H90"/>
    <mergeCell ref="I90:J90"/>
    <mergeCell ref="K90:L90"/>
    <mergeCell ref="E91:F91"/>
    <mergeCell ref="K91:L91"/>
    <mergeCell ref="C87:E87"/>
    <mergeCell ref="I103:J103"/>
    <mergeCell ref="K103:L103"/>
    <mergeCell ref="E101:F101"/>
    <mergeCell ref="E102:F102"/>
    <mergeCell ref="G102:H102"/>
    <mergeCell ref="I102:J102"/>
    <mergeCell ref="K102:L102"/>
    <mergeCell ref="E103:F103"/>
    <mergeCell ref="G103:H103"/>
    <mergeCell ref="E104:F104"/>
    <mergeCell ref="G104:H104"/>
    <mergeCell ref="I104:J104"/>
    <mergeCell ref="K104:L104"/>
    <mergeCell ref="G105:H105"/>
    <mergeCell ref="I105:J105"/>
    <mergeCell ref="K105:L105"/>
    <mergeCell ref="E105:F105"/>
    <mergeCell ref="E106:F106"/>
    <mergeCell ref="G106:H106"/>
    <mergeCell ref="I106:J106"/>
    <mergeCell ref="K106:L106"/>
    <mergeCell ref="E107:F107"/>
    <mergeCell ref="G107:H107"/>
    <mergeCell ref="O114:O115"/>
    <mergeCell ref="P114:P115"/>
    <mergeCell ref="Q114:Q115"/>
    <mergeCell ref="K114:L114"/>
    <mergeCell ref="K115:L115"/>
    <mergeCell ref="D114:E114"/>
    <mergeCell ref="F114:G115"/>
    <mergeCell ref="H114:I114"/>
    <mergeCell ref="J114:J115"/>
    <mergeCell ref="M114:N114"/>
    <mergeCell ref="H115:I115"/>
    <mergeCell ref="M115:N115"/>
    <mergeCell ref="C117:P117"/>
    <mergeCell ref="E118:F118"/>
    <mergeCell ref="G118:H118"/>
    <mergeCell ref="I118:J118"/>
    <mergeCell ref="K118:L118"/>
    <mergeCell ref="E119:F119"/>
    <mergeCell ref="K119:L119"/>
    <mergeCell ref="C115:E115"/>
    <mergeCell ref="E125:F125"/>
    <mergeCell ref="E126:F126"/>
    <mergeCell ref="G126:H126"/>
    <mergeCell ref="I126:J126"/>
    <mergeCell ref="K126:L126"/>
    <mergeCell ref="E127:F127"/>
    <mergeCell ref="G127:H127"/>
    <mergeCell ref="E128:F128"/>
    <mergeCell ref="G128:H128"/>
    <mergeCell ref="I128:J128"/>
    <mergeCell ref="K128:L128"/>
    <mergeCell ref="G129:H129"/>
    <mergeCell ref="I129:J129"/>
    <mergeCell ref="K129:L129"/>
    <mergeCell ref="I131:J131"/>
    <mergeCell ref="K131:L131"/>
    <mergeCell ref="E129:F129"/>
    <mergeCell ref="E130:F130"/>
    <mergeCell ref="G130:H130"/>
    <mergeCell ref="I130:J130"/>
    <mergeCell ref="K130:L130"/>
    <mergeCell ref="E131:F131"/>
    <mergeCell ref="G131:H131"/>
    <mergeCell ref="G121:H121"/>
    <mergeCell ref="I121:J121"/>
    <mergeCell ref="G119:H119"/>
    <mergeCell ref="I119:J119"/>
    <mergeCell ref="E120:F120"/>
    <mergeCell ref="G120:H120"/>
    <mergeCell ref="I120:J120"/>
    <mergeCell ref="K120:L120"/>
    <mergeCell ref="K121:L121"/>
    <mergeCell ref="I123:J123"/>
    <mergeCell ref="K123:L123"/>
    <mergeCell ref="E121:F121"/>
    <mergeCell ref="E122:F122"/>
    <mergeCell ref="G122:H122"/>
    <mergeCell ref="I122:J122"/>
    <mergeCell ref="K122:L122"/>
    <mergeCell ref="E123:F123"/>
    <mergeCell ref="G123:H123"/>
    <mergeCell ref="E124:F124"/>
    <mergeCell ref="G124:H124"/>
    <mergeCell ref="I124:J124"/>
    <mergeCell ref="K124:L124"/>
    <mergeCell ref="G125:H125"/>
    <mergeCell ref="I125:J125"/>
    <mergeCell ref="K125:L125"/>
    <mergeCell ref="I127:J127"/>
    <mergeCell ref="K127:L127"/>
    <mergeCell ref="E138:F138"/>
    <mergeCell ref="G138:H138"/>
    <mergeCell ref="I138:J138"/>
    <mergeCell ref="K138:L138"/>
    <mergeCell ref="I135:J135"/>
    <mergeCell ref="K135:L135"/>
    <mergeCell ref="E136:F136"/>
    <mergeCell ref="E137:F137"/>
    <mergeCell ref="G137:H137"/>
    <mergeCell ref="I137:J137"/>
    <mergeCell ref="K137:L137"/>
    <mergeCell ref="E132:F132"/>
    <mergeCell ref="G132:H132"/>
    <mergeCell ref="I132:J132"/>
    <mergeCell ref="K132:L132"/>
    <mergeCell ref="G133:H133"/>
    <mergeCell ref="I133:J133"/>
    <mergeCell ref="K133:L133"/>
    <mergeCell ref="E133:F133"/>
    <mergeCell ref="E134:F134"/>
    <mergeCell ref="G134:H134"/>
    <mergeCell ref="I134:J134"/>
    <mergeCell ref="K134:L134"/>
    <mergeCell ref="E135:F135"/>
    <mergeCell ref="G135:H135"/>
    <mergeCell ref="O142:O143"/>
    <mergeCell ref="P142:P143"/>
    <mergeCell ref="Q142:Q143"/>
    <mergeCell ref="K142:L142"/>
    <mergeCell ref="K143:L143"/>
    <mergeCell ref="D142:E142"/>
    <mergeCell ref="F142:G143"/>
    <mergeCell ref="H142:I142"/>
    <mergeCell ref="J142:J143"/>
    <mergeCell ref="M142:N142"/>
    <mergeCell ref="H143:I143"/>
    <mergeCell ref="M143:N143"/>
    <mergeCell ref="C145:P145"/>
    <mergeCell ref="E146:F146"/>
    <mergeCell ref="G146:H146"/>
    <mergeCell ref="I146:J146"/>
    <mergeCell ref="K146:L146"/>
    <mergeCell ref="E147:F147"/>
    <mergeCell ref="K147:L147"/>
    <mergeCell ref="C143:E143"/>
    <mergeCell ref="E153:F153"/>
    <mergeCell ref="E154:F154"/>
    <mergeCell ref="G154:H154"/>
    <mergeCell ref="I154:J154"/>
    <mergeCell ref="K154:L154"/>
    <mergeCell ref="E155:F155"/>
    <mergeCell ref="G155:H155"/>
    <mergeCell ref="E156:F156"/>
    <mergeCell ref="G156:H156"/>
    <mergeCell ref="I156:J156"/>
    <mergeCell ref="K156:L156"/>
    <mergeCell ref="G157:H157"/>
    <mergeCell ref="I157:J157"/>
    <mergeCell ref="K157:L157"/>
    <mergeCell ref="I159:J159"/>
    <mergeCell ref="K159:L159"/>
    <mergeCell ref="E157:F157"/>
    <mergeCell ref="E158:F158"/>
    <mergeCell ref="G158:H158"/>
    <mergeCell ref="I158:J158"/>
    <mergeCell ref="K158:L158"/>
    <mergeCell ref="E159:F159"/>
    <mergeCell ref="G159:H159"/>
    <mergeCell ref="G149:H149"/>
    <mergeCell ref="I149:J149"/>
    <mergeCell ref="G147:H147"/>
    <mergeCell ref="I147:J147"/>
    <mergeCell ref="E148:F148"/>
    <mergeCell ref="G148:H148"/>
    <mergeCell ref="I148:J148"/>
    <mergeCell ref="K148:L148"/>
    <mergeCell ref="K149:L149"/>
    <mergeCell ref="I151:J151"/>
    <mergeCell ref="K151:L151"/>
    <mergeCell ref="E149:F149"/>
    <mergeCell ref="E150:F150"/>
    <mergeCell ref="G150:H150"/>
    <mergeCell ref="I150:J150"/>
    <mergeCell ref="K150:L150"/>
    <mergeCell ref="E151:F151"/>
    <mergeCell ref="G151:H151"/>
    <mergeCell ref="E152:F152"/>
    <mergeCell ref="G152:H152"/>
    <mergeCell ref="I152:J152"/>
    <mergeCell ref="K152:L152"/>
    <mergeCell ref="G153:H153"/>
    <mergeCell ref="I153:J153"/>
    <mergeCell ref="K153:L153"/>
    <mergeCell ref="I155:J155"/>
    <mergeCell ref="K155:L155"/>
    <mergeCell ref="G166:H166"/>
    <mergeCell ref="I166:J166"/>
    <mergeCell ref="E163:F163"/>
    <mergeCell ref="E164:F164"/>
    <mergeCell ref="E165:F165"/>
    <mergeCell ref="G165:H165"/>
    <mergeCell ref="I165:J165"/>
    <mergeCell ref="K165:L165"/>
    <mergeCell ref="E166:F166"/>
    <mergeCell ref="K166:L166"/>
    <mergeCell ref="E209:F209"/>
    <mergeCell ref="E210:F210"/>
    <mergeCell ref="G210:H210"/>
    <mergeCell ref="I210:J210"/>
    <mergeCell ref="K210:L210"/>
    <mergeCell ref="E211:F211"/>
    <mergeCell ref="G211:H211"/>
    <mergeCell ref="E212:F212"/>
    <mergeCell ref="G212:H212"/>
    <mergeCell ref="I212:J212"/>
    <mergeCell ref="K212:L212"/>
    <mergeCell ref="G213:H213"/>
    <mergeCell ref="I213:J213"/>
    <mergeCell ref="K213:L213"/>
    <mergeCell ref="H226:I226"/>
    <mergeCell ref="H227:I227"/>
    <mergeCell ref="G222:H222"/>
    <mergeCell ref="I222:J222"/>
    <mergeCell ref="H225:I225"/>
    <mergeCell ref="K225:L225"/>
    <mergeCell ref="F226:G227"/>
    <mergeCell ref="J226:J227"/>
    <mergeCell ref="K226:L226"/>
    <mergeCell ref="K227:L227"/>
    <mergeCell ref="G205:H205"/>
    <mergeCell ref="I205:J205"/>
    <mergeCell ref="G203:H203"/>
    <mergeCell ref="I203:J203"/>
    <mergeCell ref="E204:F204"/>
    <mergeCell ref="G204:H204"/>
    <mergeCell ref="I204:J204"/>
    <mergeCell ref="K204:L204"/>
    <mergeCell ref="K205:L205"/>
    <mergeCell ref="I207:J207"/>
    <mergeCell ref="K207:L207"/>
    <mergeCell ref="E205:F205"/>
    <mergeCell ref="E206:F206"/>
    <mergeCell ref="G206:H206"/>
    <mergeCell ref="I206:J206"/>
    <mergeCell ref="K206:L206"/>
    <mergeCell ref="E207:F207"/>
    <mergeCell ref="G207:H207"/>
    <mergeCell ref="E208:F208"/>
    <mergeCell ref="G208:H208"/>
    <mergeCell ref="I208:J208"/>
    <mergeCell ref="K208:L208"/>
    <mergeCell ref="G209:H209"/>
    <mergeCell ref="I209:J209"/>
    <mergeCell ref="K209:L209"/>
    <mergeCell ref="I211:J211"/>
    <mergeCell ref="K211:L211"/>
    <mergeCell ref="E219:F219"/>
    <mergeCell ref="E220:F220"/>
    <mergeCell ref="E221:F221"/>
    <mergeCell ref="G221:H221"/>
    <mergeCell ref="I221:J221"/>
    <mergeCell ref="K221:L221"/>
    <mergeCell ref="E222:F222"/>
    <mergeCell ref="K222:L222"/>
    <mergeCell ref="E160:F160"/>
    <mergeCell ref="G160:H160"/>
    <mergeCell ref="I160:J160"/>
    <mergeCell ref="K160:L160"/>
    <mergeCell ref="G161:H161"/>
    <mergeCell ref="I161:J161"/>
    <mergeCell ref="K161:L161"/>
    <mergeCell ref="E161:F161"/>
    <mergeCell ref="E162:F162"/>
    <mergeCell ref="G162:H162"/>
    <mergeCell ref="I162:J162"/>
    <mergeCell ref="K162:L162"/>
    <mergeCell ref="G163:H163"/>
    <mergeCell ref="K163:L163"/>
    <mergeCell ref="O170:O171"/>
    <mergeCell ref="P170:P171"/>
    <mergeCell ref="Q170:Q171"/>
    <mergeCell ref="K170:L170"/>
    <mergeCell ref="K171:L171"/>
    <mergeCell ref="D170:E170"/>
    <mergeCell ref="F170:G171"/>
    <mergeCell ref="H170:I170"/>
    <mergeCell ref="J170:J171"/>
    <mergeCell ref="M170:N170"/>
    <mergeCell ref="H171:I171"/>
    <mergeCell ref="M171:N171"/>
    <mergeCell ref="C173:P173"/>
    <mergeCell ref="E174:F174"/>
    <mergeCell ref="G174:H174"/>
    <mergeCell ref="I174:J174"/>
    <mergeCell ref="K174:L174"/>
    <mergeCell ref="E175:F175"/>
    <mergeCell ref="K175:L175"/>
    <mergeCell ref="C171:E171"/>
    <mergeCell ref="E181:F181"/>
    <mergeCell ref="E182:F182"/>
    <mergeCell ref="G182:H182"/>
    <mergeCell ref="I182:J182"/>
    <mergeCell ref="K182:L182"/>
    <mergeCell ref="E183:F183"/>
    <mergeCell ref="G183:H183"/>
    <mergeCell ref="E184:F184"/>
    <mergeCell ref="G184:H184"/>
    <mergeCell ref="I184:J184"/>
    <mergeCell ref="K184:L184"/>
    <mergeCell ref="G185:H185"/>
    <mergeCell ref="I185:J185"/>
    <mergeCell ref="K185:L185"/>
    <mergeCell ref="I187:J187"/>
    <mergeCell ref="K187:L187"/>
    <mergeCell ref="E185:F185"/>
    <mergeCell ref="E186:F186"/>
    <mergeCell ref="G186:H186"/>
    <mergeCell ref="I186:J186"/>
    <mergeCell ref="K186:L186"/>
    <mergeCell ref="E187:F187"/>
    <mergeCell ref="G187:H187"/>
    <mergeCell ref="G177:H177"/>
    <mergeCell ref="I177:J177"/>
    <mergeCell ref="G175:H175"/>
    <mergeCell ref="I175:J175"/>
    <mergeCell ref="E176:F176"/>
    <mergeCell ref="G176:H176"/>
    <mergeCell ref="I176:J176"/>
    <mergeCell ref="K176:L176"/>
    <mergeCell ref="K177:L177"/>
    <mergeCell ref="I179:J179"/>
    <mergeCell ref="K179:L179"/>
    <mergeCell ref="E177:F177"/>
    <mergeCell ref="E178:F178"/>
    <mergeCell ref="G178:H178"/>
    <mergeCell ref="I178:J178"/>
    <mergeCell ref="K178:L178"/>
    <mergeCell ref="E179:F179"/>
    <mergeCell ref="G179:H179"/>
    <mergeCell ref="E180:F180"/>
    <mergeCell ref="G180:H180"/>
    <mergeCell ref="I180:J180"/>
    <mergeCell ref="K180:L180"/>
    <mergeCell ref="G181:H181"/>
    <mergeCell ref="I181:J181"/>
    <mergeCell ref="K181:L181"/>
    <mergeCell ref="I183:J183"/>
    <mergeCell ref="K183:L183"/>
    <mergeCell ref="G194:H194"/>
    <mergeCell ref="I194:J194"/>
    <mergeCell ref="E191:F191"/>
    <mergeCell ref="E192:F192"/>
    <mergeCell ref="E193:F193"/>
    <mergeCell ref="G193:H193"/>
    <mergeCell ref="I193:J193"/>
    <mergeCell ref="K193:L193"/>
    <mergeCell ref="E194:F194"/>
    <mergeCell ref="K194:L194"/>
    <mergeCell ref="E188:F188"/>
    <mergeCell ref="G188:H188"/>
    <mergeCell ref="I188:J188"/>
    <mergeCell ref="K188:L188"/>
    <mergeCell ref="G189:H189"/>
    <mergeCell ref="I189:J189"/>
    <mergeCell ref="K189:L189"/>
    <mergeCell ref="E189:F189"/>
    <mergeCell ref="E190:F190"/>
    <mergeCell ref="G190:H190"/>
    <mergeCell ref="I190:J190"/>
    <mergeCell ref="K190:L190"/>
    <mergeCell ref="G191:H191"/>
    <mergeCell ref="K191:L191"/>
    <mergeCell ref="O198:O199"/>
    <mergeCell ref="P198:P199"/>
    <mergeCell ref="Q198:Q199"/>
    <mergeCell ref="K198:L198"/>
    <mergeCell ref="K199:L199"/>
    <mergeCell ref="D198:E198"/>
    <mergeCell ref="F198:G199"/>
    <mergeCell ref="H198:I198"/>
    <mergeCell ref="J198:J199"/>
    <mergeCell ref="M198:N198"/>
    <mergeCell ref="H199:I199"/>
    <mergeCell ref="M199:N199"/>
    <mergeCell ref="C201:P201"/>
    <mergeCell ref="E202:F202"/>
    <mergeCell ref="G202:H202"/>
    <mergeCell ref="I202:J202"/>
    <mergeCell ref="K202:L202"/>
    <mergeCell ref="E203:F203"/>
    <mergeCell ref="K203:L203"/>
    <mergeCell ref="C199:E199"/>
    <mergeCell ref="I215:J215"/>
    <mergeCell ref="K215:L215"/>
    <mergeCell ref="E213:F213"/>
    <mergeCell ref="E214:F214"/>
    <mergeCell ref="G214:H214"/>
    <mergeCell ref="I214:J214"/>
    <mergeCell ref="K214:L214"/>
    <mergeCell ref="E215:F215"/>
    <mergeCell ref="G215:H215"/>
    <mergeCell ref="E216:F216"/>
    <mergeCell ref="G216:H216"/>
    <mergeCell ref="I216:J216"/>
    <mergeCell ref="K216:L216"/>
    <mergeCell ref="G217:H217"/>
    <mergeCell ref="I217:J217"/>
    <mergeCell ref="K217:L217"/>
    <mergeCell ref="E217:F217"/>
    <mergeCell ref="E218:F218"/>
    <mergeCell ref="G218:H218"/>
    <mergeCell ref="I218:J218"/>
    <mergeCell ref="K218:L218"/>
    <mergeCell ref="G219:H219"/>
    <mergeCell ref="K219:L219"/>
    <mergeCell ref="M226:N226"/>
    <mergeCell ref="M227:N227"/>
    <mergeCell ref="C226:E226"/>
    <mergeCell ref="O226:O227"/>
    <mergeCell ref="P226:P227"/>
    <mergeCell ref="Q226:Q227"/>
    <mergeCell ref="C227:E227"/>
    <mergeCell ref="C229:P229"/>
    <mergeCell ref="E230:F230"/>
    <mergeCell ref="G230:H230"/>
    <mergeCell ref="I230:J230"/>
    <mergeCell ref="K230:L230"/>
    <mergeCell ref="E231:F231"/>
    <mergeCell ref="K231:L231"/>
    <mergeCell ref="G233:H233"/>
    <mergeCell ref="I233:J233"/>
    <mergeCell ref="I235:J235"/>
    <mergeCell ref="K235:L235"/>
    <mergeCell ref="G289:H289"/>
    <mergeCell ref="I289:J289"/>
    <mergeCell ref="G287:H287"/>
    <mergeCell ref="I287:J287"/>
    <mergeCell ref="E288:F288"/>
    <mergeCell ref="G288:H288"/>
    <mergeCell ref="I288:J288"/>
    <mergeCell ref="K288:L288"/>
    <mergeCell ref="K289:L289"/>
    <mergeCell ref="I291:J291"/>
    <mergeCell ref="K291:L291"/>
    <mergeCell ref="E289:F289"/>
    <mergeCell ref="E290:F290"/>
    <mergeCell ref="G290:H290"/>
    <mergeCell ref="I290:J290"/>
    <mergeCell ref="K290:L290"/>
    <mergeCell ref="E291:F291"/>
    <mergeCell ref="G291:H291"/>
    <mergeCell ref="E292:F292"/>
    <mergeCell ref="G292:H292"/>
    <mergeCell ref="I292:J292"/>
    <mergeCell ref="K292:L292"/>
    <mergeCell ref="G293:H293"/>
    <mergeCell ref="I293:J293"/>
    <mergeCell ref="K293:L293"/>
    <mergeCell ref="I295:J295"/>
    <mergeCell ref="K295:L295"/>
    <mergeCell ref="G306:H306"/>
    <mergeCell ref="I306:J306"/>
    <mergeCell ref="H309:I309"/>
    <mergeCell ref="K309:L309"/>
    <mergeCell ref="E303:F303"/>
    <mergeCell ref="E304:F304"/>
    <mergeCell ref="E305:F305"/>
    <mergeCell ref="G305:H305"/>
    <mergeCell ref="I305:J305"/>
    <mergeCell ref="K305:L305"/>
    <mergeCell ref="E306:F306"/>
    <mergeCell ref="K306:L306"/>
    <mergeCell ref="E300:F300"/>
    <mergeCell ref="G300:H300"/>
    <mergeCell ref="I300:J300"/>
    <mergeCell ref="K300:L300"/>
    <mergeCell ref="G301:H301"/>
    <mergeCell ref="I301:J301"/>
    <mergeCell ref="K301:L301"/>
    <mergeCell ref="E301:F301"/>
    <mergeCell ref="E302:F302"/>
    <mergeCell ref="G302:H302"/>
    <mergeCell ref="I302:J302"/>
    <mergeCell ref="K302:L302"/>
    <mergeCell ref="G303:H303"/>
    <mergeCell ref="K303:L303"/>
    <mergeCell ref="O310:O311"/>
    <mergeCell ref="P310:P311"/>
    <mergeCell ref="Q310:Q311"/>
    <mergeCell ref="K310:L310"/>
    <mergeCell ref="K311:L311"/>
    <mergeCell ref="C310:E310"/>
    <mergeCell ref="F310:G311"/>
    <mergeCell ref="H310:I310"/>
    <mergeCell ref="J310:J311"/>
    <mergeCell ref="M310:N310"/>
    <mergeCell ref="H311:I311"/>
    <mergeCell ref="M311:N311"/>
    <mergeCell ref="C313:P313"/>
    <mergeCell ref="E314:F314"/>
    <mergeCell ref="G314:H314"/>
    <mergeCell ref="I314:J314"/>
    <mergeCell ref="K314:L314"/>
    <mergeCell ref="E315:F315"/>
    <mergeCell ref="K315:L315"/>
    <mergeCell ref="C311:E311"/>
    <mergeCell ref="E293:F293"/>
    <mergeCell ref="E294:F294"/>
    <mergeCell ref="G294:H294"/>
    <mergeCell ref="I294:J294"/>
    <mergeCell ref="K294:L294"/>
    <mergeCell ref="E295:F295"/>
    <mergeCell ref="G295:H295"/>
    <mergeCell ref="E296:F296"/>
    <mergeCell ref="G296:H296"/>
    <mergeCell ref="I296:J296"/>
    <mergeCell ref="K296:L296"/>
    <mergeCell ref="G297:H297"/>
    <mergeCell ref="I297:J297"/>
    <mergeCell ref="K297:L297"/>
    <mergeCell ref="I299:J299"/>
    <mergeCell ref="K299:L299"/>
    <mergeCell ref="E297:F297"/>
    <mergeCell ref="E298:F298"/>
    <mergeCell ref="G298:H298"/>
    <mergeCell ref="I298:J298"/>
    <mergeCell ref="K298:L298"/>
    <mergeCell ref="E299:F299"/>
    <mergeCell ref="G299:H299"/>
    <mergeCell ref="E321:F321"/>
    <mergeCell ref="E322:F322"/>
    <mergeCell ref="G322:H322"/>
    <mergeCell ref="I322:J322"/>
    <mergeCell ref="K322:L322"/>
    <mergeCell ref="E323:F323"/>
    <mergeCell ref="G323:H323"/>
    <mergeCell ref="E324:F324"/>
    <mergeCell ref="G324:H324"/>
    <mergeCell ref="I324:J324"/>
    <mergeCell ref="K324:L324"/>
    <mergeCell ref="G325:H325"/>
    <mergeCell ref="I325:J325"/>
    <mergeCell ref="K325:L325"/>
    <mergeCell ref="I327:J327"/>
    <mergeCell ref="K327:L327"/>
    <mergeCell ref="E325:F325"/>
    <mergeCell ref="E326:F326"/>
    <mergeCell ref="G326:H326"/>
    <mergeCell ref="I326:J326"/>
    <mergeCell ref="K326:L326"/>
    <mergeCell ref="E327:F327"/>
    <mergeCell ref="G327:H327"/>
    <mergeCell ref="E328:F328"/>
    <mergeCell ref="G328:H328"/>
    <mergeCell ref="I328:J328"/>
    <mergeCell ref="K328:L328"/>
    <mergeCell ref="G329:H329"/>
    <mergeCell ref="I329:J329"/>
    <mergeCell ref="K329:L329"/>
    <mergeCell ref="E329:F329"/>
    <mergeCell ref="E330:F330"/>
    <mergeCell ref="G330:H330"/>
    <mergeCell ref="I330:J330"/>
    <mergeCell ref="K330:L330"/>
    <mergeCell ref="G331:H331"/>
    <mergeCell ref="K331:L331"/>
    <mergeCell ref="G317:H317"/>
    <mergeCell ref="I317:J317"/>
    <mergeCell ref="G315:H315"/>
    <mergeCell ref="I315:J315"/>
    <mergeCell ref="E316:F316"/>
    <mergeCell ref="G316:H316"/>
    <mergeCell ref="I316:J316"/>
    <mergeCell ref="K316:L316"/>
    <mergeCell ref="K317:L317"/>
    <mergeCell ref="I319:J319"/>
    <mergeCell ref="K319:L319"/>
    <mergeCell ref="E317:F317"/>
    <mergeCell ref="E318:F318"/>
    <mergeCell ref="G318:H318"/>
    <mergeCell ref="I318:J318"/>
    <mergeCell ref="K318:L318"/>
    <mergeCell ref="E319:F319"/>
    <mergeCell ref="G319:H319"/>
    <mergeCell ref="E320:F320"/>
    <mergeCell ref="G320:H320"/>
    <mergeCell ref="I320:J320"/>
    <mergeCell ref="K320:L320"/>
    <mergeCell ref="G321:H321"/>
    <mergeCell ref="I321:J321"/>
    <mergeCell ref="K321:L321"/>
    <mergeCell ref="I323:J323"/>
    <mergeCell ref="K323:L323"/>
    <mergeCell ref="G334:H334"/>
    <mergeCell ref="I334:J334"/>
    <mergeCell ref="E331:F331"/>
    <mergeCell ref="E332:F332"/>
    <mergeCell ref="E333:F333"/>
    <mergeCell ref="G333:H333"/>
    <mergeCell ref="I333:J333"/>
    <mergeCell ref="K333:L333"/>
    <mergeCell ref="E334:F334"/>
    <mergeCell ref="K334:L334"/>
  </mergeCells>
  <conditionalFormatting sqref="E36:O49 E64:O77 E92:O105 E120:O133 E148:O161 E176:O189 E204:O217 E232:O245 E260:O273 E288:O301 E316:O329">
    <cfRule type="cellIs" dxfId="0" priority="1" operator="greaterThan">
      <formula>10000</formula>
    </cfRule>
  </conditionalFormatting>
  <conditionalFormatting sqref="E36:O49 E64:O77 E92:O105 E120:O133 E148:O161 E176:O189 E204:O217 E232:O245 E260:O273 E288:O301 E316:O329">
    <cfRule type="notContainsBlanks" dxfId="1" priority="2">
      <formula>LEN(TRIM(E36))&gt;0</formula>
    </cfRule>
  </conditionalFormatting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7.0"/>
    <col customWidth="1" min="4" max="4" width="3.14"/>
    <col customWidth="1" min="5" max="5" width="26.14"/>
    <col customWidth="1" min="7" max="7" width="3.43"/>
    <col customWidth="1" min="8" max="8" width="5.0"/>
    <col customWidth="1" min="9" max="9" width="17.43"/>
    <col customWidth="1" min="10" max="10" width="6.14"/>
    <col customWidth="1" min="11" max="11" width="9.86"/>
    <col customWidth="1" min="12" max="12" width="15.0"/>
    <col customWidth="1" min="13" max="13" width="14.86"/>
    <col customWidth="1" min="14" max="14" width="17.57"/>
    <col customWidth="1" min="15" max="15" width="3.86"/>
    <col customWidth="1" min="16" max="16" width="20.0"/>
    <col customWidth="1" min="17" max="17" width="3.71"/>
    <col customWidth="1" min="20" max="20" width="19.71"/>
    <col customWidth="1" min="21" max="22" width="24.86"/>
    <col customWidth="1" min="23" max="32" width="26.14"/>
    <col customWidth="1" min="33" max="33" width="37.14"/>
    <col customWidth="1" min="34" max="35" width="26.14"/>
    <col customWidth="1" min="36" max="36" width="26.43"/>
  </cols>
  <sheetData>
    <row r="1" ht="30.75" customHeight="1">
      <c r="A1" s="129" t="s">
        <v>39</v>
      </c>
      <c r="B1" s="130"/>
      <c r="C1" s="130"/>
      <c r="D1" s="131"/>
      <c r="E1" s="131"/>
      <c r="F1" s="131"/>
      <c r="G1" s="132"/>
      <c r="H1" s="132"/>
      <c r="I1" s="133">
        <f t="array" ref="I1">(INDIRECT("I" &amp; ROW() + 1)/INDIRECT("D" &amp; ROW() + 1))</f>
        <v>0.5464237977</v>
      </c>
      <c r="J1" s="134"/>
      <c r="K1" s="132"/>
      <c r="L1" s="135"/>
      <c r="M1" s="136">
        <f t="array" ref="M1">(1 - INDIRECT("I" &amp; ROW()))</f>
        <v>0.4535762023</v>
      </c>
      <c r="N1" s="137"/>
      <c r="O1" s="137"/>
      <c r="P1" s="132"/>
      <c r="Q1" s="132"/>
      <c r="R1" s="132"/>
    </row>
    <row r="2" ht="30.75" customHeight="1">
      <c r="A2" s="138">
        <f>NOW()</f>
        <v>46234.09825</v>
      </c>
      <c r="B2" s="139"/>
      <c r="C2" s="139"/>
      <c r="D2" s="140">
        <f>SUM(F22:N22)</f>
        <v>668097</v>
      </c>
      <c r="E2" s="141"/>
      <c r="F2" s="141"/>
      <c r="G2" s="132"/>
      <c r="I2" s="142">
        <f>SUM(F7:N7)</f>
        <v>365064.1</v>
      </c>
      <c r="K2" s="132"/>
      <c r="L2" s="135">
        <f>D2-I2</f>
        <v>303032.9</v>
      </c>
      <c r="N2" s="137">
        <v>0.0</v>
      </c>
      <c r="P2" s="132"/>
      <c r="Q2" s="132"/>
      <c r="R2" s="132"/>
    </row>
    <row r="3" ht="24.75" customHeight="1">
      <c r="A3" s="144" t="s">
        <v>0</v>
      </c>
      <c r="D3" s="145" t="s">
        <v>1</v>
      </c>
      <c r="G3" s="18"/>
      <c r="H3" s="18"/>
      <c r="I3" s="145" t="s">
        <v>2</v>
      </c>
      <c r="K3" s="18"/>
      <c r="L3" s="145" t="s">
        <v>3</v>
      </c>
      <c r="N3" s="146" t="s">
        <v>14</v>
      </c>
      <c r="P3" s="18"/>
      <c r="Q3" s="18"/>
      <c r="R3" s="18"/>
    </row>
    <row r="4" ht="22.5" customHeight="1">
      <c r="A4" s="147"/>
      <c r="B4" s="148"/>
      <c r="C4" s="148"/>
      <c r="D4" s="149"/>
      <c r="E4" s="149"/>
      <c r="F4" s="150" t="s">
        <v>4</v>
      </c>
      <c r="G4" s="149"/>
      <c r="H4" s="149"/>
      <c r="I4" s="149"/>
      <c r="J4" s="149"/>
      <c r="K4" s="149"/>
      <c r="L4" s="149"/>
      <c r="M4" s="149"/>
      <c r="N4" s="149"/>
      <c r="O4" s="149"/>
      <c r="P4" s="151"/>
      <c r="Q4" s="151"/>
      <c r="R4" s="151"/>
    </row>
    <row r="5" ht="26.25" customHeight="1">
      <c r="A5" s="152"/>
      <c r="B5" s="152"/>
      <c r="C5" s="153"/>
      <c r="D5" s="154" t="s">
        <v>5</v>
      </c>
      <c r="R5" s="151"/>
    </row>
    <row r="6" ht="26.25" customHeight="1">
      <c r="A6" s="155" t="s">
        <v>40</v>
      </c>
      <c r="B6" s="156" t="s">
        <v>41</v>
      </c>
      <c r="C6" s="153"/>
      <c r="D6" s="157"/>
      <c r="E6" s="158" t="s">
        <v>6</v>
      </c>
      <c r="F6" s="159" t="s">
        <v>15</v>
      </c>
      <c r="G6" s="160"/>
      <c r="H6" s="159" t="s">
        <v>16</v>
      </c>
      <c r="I6" s="160"/>
      <c r="J6" s="159" t="s">
        <v>17</v>
      </c>
      <c r="K6" s="160"/>
      <c r="L6" s="159" t="s">
        <v>18</v>
      </c>
      <c r="M6" s="160"/>
      <c r="N6" s="159" t="s">
        <v>19</v>
      </c>
      <c r="O6" s="157"/>
      <c r="P6" s="159" t="s">
        <v>12</v>
      </c>
      <c r="Q6" s="157"/>
      <c r="R6" s="161"/>
    </row>
    <row r="7" ht="36.0" customHeight="1">
      <c r="A7" s="162" t="s">
        <v>42</v>
      </c>
      <c r="B7" s="163">
        <v>44932.0</v>
      </c>
      <c r="C7" s="153"/>
      <c r="D7" s="164"/>
      <c r="E7" s="165" t="s">
        <v>13</v>
      </c>
      <c r="F7" s="166">
        <f>SUM(F8:F21)</f>
        <v>80719</v>
      </c>
      <c r="G7" s="167"/>
      <c r="H7" s="166">
        <f>SUM(H8:H21)</f>
        <v>84490</v>
      </c>
      <c r="I7" s="167"/>
      <c r="J7" s="166">
        <f>SUM(J8:J21)</f>
        <v>91455</v>
      </c>
      <c r="K7" s="167"/>
      <c r="L7" s="166">
        <f>SUM(L8:L21)</f>
        <v>14123</v>
      </c>
      <c r="M7" s="167"/>
      <c r="N7" s="166">
        <f>SUM(N8:N21)</f>
        <v>94277.1</v>
      </c>
      <c r="O7" s="166"/>
      <c r="P7" s="166">
        <f t="shared" ref="P7:P26" si="1">SUM(F7:O7)</f>
        <v>365064.1</v>
      </c>
      <c r="Q7" s="166"/>
      <c r="R7" s="161"/>
    </row>
    <row r="8" ht="24.0" customHeight="1">
      <c r="A8" s="162" t="s">
        <v>43</v>
      </c>
      <c r="B8" s="163">
        <v>45120.0</v>
      </c>
      <c r="C8" s="153"/>
      <c r="D8" s="168"/>
      <c r="E8" s="169" t="s">
        <v>20</v>
      </c>
      <c r="F8" s="170">
        <v>41249.0</v>
      </c>
      <c r="G8" s="167"/>
      <c r="H8" s="170">
        <v>0.0</v>
      </c>
      <c r="I8" s="167"/>
      <c r="J8" s="170">
        <v>0.0</v>
      </c>
      <c r="K8" s="167"/>
      <c r="L8" s="170"/>
      <c r="M8" s="167"/>
      <c r="N8" s="170">
        <v>5680.0</v>
      </c>
      <c r="O8" s="171"/>
      <c r="P8" s="170">
        <f t="shared" si="1"/>
        <v>46929</v>
      </c>
      <c r="Q8" s="171"/>
      <c r="R8" s="161"/>
    </row>
    <row r="9" ht="24.0" customHeight="1">
      <c r="A9" s="162" t="s">
        <v>44</v>
      </c>
      <c r="B9" s="172" t="s">
        <v>45</v>
      </c>
      <c r="C9" s="153"/>
      <c r="D9" s="168"/>
      <c r="E9" s="169" t="s">
        <v>21</v>
      </c>
      <c r="F9" s="170">
        <f>(6699-1700+1166)</f>
        <v>6165</v>
      </c>
      <c r="G9" s="167"/>
      <c r="H9" s="170">
        <f>2493+550+10977-3700-947+5870</f>
        <v>15243</v>
      </c>
      <c r="I9" s="167"/>
      <c r="J9" s="170">
        <f>12517-5790+700+1428</f>
        <v>8855</v>
      </c>
      <c r="K9" s="167"/>
      <c r="L9" s="170">
        <f>2475+580+1968</f>
        <v>5023</v>
      </c>
      <c r="M9" s="167"/>
      <c r="N9" s="170">
        <v>700.0</v>
      </c>
      <c r="O9" s="171"/>
      <c r="P9" s="170">
        <f t="shared" si="1"/>
        <v>35986</v>
      </c>
      <c r="Q9" s="171"/>
      <c r="R9" s="161"/>
    </row>
    <row r="10" ht="24.0" customHeight="1">
      <c r="A10" s="162" t="s">
        <v>46</v>
      </c>
      <c r="B10" s="172" t="s">
        <v>47</v>
      </c>
      <c r="C10" s="153"/>
      <c r="D10" s="168"/>
      <c r="E10" s="173" t="s">
        <v>22</v>
      </c>
      <c r="F10" s="170">
        <v>0.0</v>
      </c>
      <c r="G10" s="167"/>
      <c r="H10" s="170">
        <v>1090.0</v>
      </c>
      <c r="I10" s="167"/>
      <c r="J10" s="170">
        <v>0.0</v>
      </c>
      <c r="K10" s="167"/>
      <c r="L10" s="170">
        <f>400+7100-3850</f>
        <v>3650</v>
      </c>
      <c r="M10" s="167"/>
      <c r="N10" s="170">
        <v>0.0</v>
      </c>
      <c r="O10" s="171"/>
      <c r="P10" s="170">
        <f t="shared" si="1"/>
        <v>4740</v>
      </c>
      <c r="Q10" s="171"/>
      <c r="R10" s="161"/>
    </row>
    <row r="11" ht="24.0" customHeight="1">
      <c r="A11" s="174" t="s">
        <v>48</v>
      </c>
      <c r="B11" s="175" t="s">
        <v>49</v>
      </c>
      <c r="C11" s="153"/>
      <c r="D11" s="168"/>
      <c r="E11" s="173" t="s">
        <v>23</v>
      </c>
      <c r="F11" s="170">
        <v>4800.0</v>
      </c>
      <c r="G11" s="167"/>
      <c r="H11" s="170">
        <v>0.0</v>
      </c>
      <c r="I11" s="167"/>
      <c r="J11" s="170">
        <f>6420+2130+2450</f>
        <v>11000</v>
      </c>
      <c r="K11" s="167"/>
      <c r="L11" s="170">
        <v>0.0</v>
      </c>
      <c r="M11" s="167"/>
      <c r="N11" s="170">
        <v>0.0</v>
      </c>
      <c r="O11" s="171"/>
      <c r="P11" s="170">
        <f t="shared" si="1"/>
        <v>15800</v>
      </c>
      <c r="Q11" s="171"/>
      <c r="R11" s="161"/>
    </row>
    <row r="12" ht="24.0" customHeight="1">
      <c r="A12" s="176"/>
      <c r="B12" s="153"/>
      <c r="C12" s="153"/>
      <c r="D12" s="168"/>
      <c r="E12" s="169" t="s">
        <v>24</v>
      </c>
      <c r="F12" s="170">
        <v>0.0</v>
      </c>
      <c r="G12" s="167"/>
      <c r="H12" s="170">
        <v>0.0</v>
      </c>
      <c r="I12" s="167"/>
      <c r="J12" s="170">
        <v>0.0</v>
      </c>
      <c r="K12" s="167"/>
      <c r="L12" s="170">
        <v>0.0</v>
      </c>
      <c r="M12" s="167"/>
      <c r="N12" s="170">
        <v>0.0</v>
      </c>
      <c r="O12" s="171"/>
      <c r="P12" s="170">
        <f t="shared" si="1"/>
        <v>0</v>
      </c>
      <c r="Q12" s="171"/>
      <c r="R12" s="161"/>
    </row>
    <row r="13" ht="24.0" customHeight="1">
      <c r="A13" s="176"/>
      <c r="B13" s="153"/>
      <c r="C13" s="153"/>
      <c r="D13" s="168"/>
      <c r="E13" s="169" t="s">
        <v>25</v>
      </c>
      <c r="F13" s="170">
        <f>7197+790</f>
        <v>7987</v>
      </c>
      <c r="G13" s="167"/>
      <c r="H13" s="170">
        <v>43480.0</v>
      </c>
      <c r="I13" s="167"/>
      <c r="J13" s="170">
        <v>0.0</v>
      </c>
      <c r="K13" s="167"/>
      <c r="L13" s="170">
        <v>0.0</v>
      </c>
      <c r="M13" s="167"/>
      <c r="N13" s="170">
        <v>0.0</v>
      </c>
      <c r="O13" s="171"/>
      <c r="P13" s="170">
        <f t="shared" si="1"/>
        <v>51467</v>
      </c>
      <c r="Q13" s="171"/>
      <c r="R13" s="161"/>
    </row>
    <row r="14" ht="24.0" customHeight="1">
      <c r="A14" s="176"/>
      <c r="B14" s="153"/>
      <c r="C14" s="153"/>
      <c r="D14" s="168"/>
      <c r="E14" s="169" t="s">
        <v>26</v>
      </c>
      <c r="F14" s="170">
        <v>0.0</v>
      </c>
      <c r="G14" s="167"/>
      <c r="H14" s="170">
        <v>0.0</v>
      </c>
      <c r="I14" s="167"/>
      <c r="J14" s="170">
        <v>70000.0</v>
      </c>
      <c r="K14" s="167"/>
      <c r="L14" s="170">
        <f>3850</f>
        <v>3850</v>
      </c>
      <c r="M14" s="167"/>
      <c r="N14" s="170">
        <v>2608.0</v>
      </c>
      <c r="O14" s="171"/>
      <c r="P14" s="170">
        <f t="shared" si="1"/>
        <v>76458</v>
      </c>
      <c r="Q14" s="171"/>
      <c r="R14" s="161"/>
    </row>
    <row r="15" ht="24.0" customHeight="1">
      <c r="A15" s="176"/>
      <c r="B15" s="153"/>
      <c r="C15" s="153"/>
      <c r="D15" s="168"/>
      <c r="E15" s="169" t="s">
        <v>27</v>
      </c>
      <c r="F15" s="170">
        <v>0.0</v>
      </c>
      <c r="G15" s="167"/>
      <c r="H15" s="170">
        <v>0.0</v>
      </c>
      <c r="I15" s="167"/>
      <c r="J15" s="170">
        <v>0.0</v>
      </c>
      <c r="K15" s="167"/>
      <c r="L15" s="170">
        <v>0.0</v>
      </c>
      <c r="M15" s="167"/>
      <c r="N15" s="170">
        <v>0.0</v>
      </c>
      <c r="O15" s="171"/>
      <c r="P15" s="170">
        <f t="shared" si="1"/>
        <v>0</v>
      </c>
      <c r="Q15" s="171"/>
      <c r="R15" s="161"/>
    </row>
    <row r="16" ht="24.0" customHeight="1">
      <c r="A16" s="176"/>
      <c r="B16" s="153"/>
      <c r="C16" s="153"/>
      <c r="D16" s="168"/>
      <c r="E16" s="169" t="s">
        <v>28</v>
      </c>
      <c r="F16" s="170">
        <v>0.0</v>
      </c>
      <c r="G16" s="167"/>
      <c r="H16" s="170">
        <v>0.0</v>
      </c>
      <c r="I16" s="167"/>
      <c r="J16" s="170">
        <v>0.0</v>
      </c>
      <c r="K16" s="167"/>
      <c r="L16" s="170">
        <v>0.0</v>
      </c>
      <c r="M16" s="167"/>
      <c r="N16" s="170">
        <f>(20+1.44+8.41+4.18+8.9+1.45+1.45+5.7+9.95+6.95+15.5+0.63+30+8.3+5.2+37+4.4+27.35+3.53+5.95+4.4+3+5)*390</f>
        <v>85289.1</v>
      </c>
      <c r="O16" s="171"/>
      <c r="P16" s="170">
        <f t="shared" si="1"/>
        <v>85289.1</v>
      </c>
      <c r="Q16" s="171"/>
      <c r="R16" s="161"/>
    </row>
    <row r="17" ht="24.0" customHeight="1">
      <c r="A17" s="176"/>
      <c r="B17" s="153"/>
      <c r="C17" s="153"/>
      <c r="D17" s="168"/>
      <c r="E17" s="169" t="s">
        <v>29</v>
      </c>
      <c r="F17" s="170">
        <v>16048.0</v>
      </c>
      <c r="G17" s="167"/>
      <c r="H17" s="170">
        <v>9500.0</v>
      </c>
      <c r="I17" s="167"/>
      <c r="J17" s="170">
        <v>0.0</v>
      </c>
      <c r="K17" s="167"/>
      <c r="L17" s="170">
        <v>0.0</v>
      </c>
      <c r="M17" s="167"/>
      <c r="N17" s="170">
        <v>0.0</v>
      </c>
      <c r="O17" s="171"/>
      <c r="P17" s="170">
        <f t="shared" si="1"/>
        <v>25548</v>
      </c>
      <c r="Q17" s="171"/>
      <c r="R17" s="161"/>
    </row>
    <row r="18" ht="24.0" customHeight="1">
      <c r="A18" s="176"/>
      <c r="B18" s="153"/>
      <c r="C18" s="153"/>
      <c r="D18" s="168"/>
      <c r="E18" s="169" t="s">
        <v>30</v>
      </c>
      <c r="F18" s="170">
        <v>0.0</v>
      </c>
      <c r="G18" s="167"/>
      <c r="H18" s="170">
        <v>0.0</v>
      </c>
      <c r="I18" s="167"/>
      <c r="J18" s="170">
        <v>1600.0</v>
      </c>
      <c r="K18" s="167"/>
      <c r="L18" s="170">
        <v>1600.0</v>
      </c>
      <c r="M18" s="167"/>
      <c r="N18" s="170">
        <v>0.0</v>
      </c>
      <c r="O18" s="171"/>
      <c r="P18" s="170">
        <f t="shared" si="1"/>
        <v>3200</v>
      </c>
      <c r="Q18" s="171"/>
      <c r="R18" s="161"/>
    </row>
    <row r="19" ht="24.0" customHeight="1">
      <c r="A19" s="176"/>
      <c r="B19" s="153"/>
      <c r="C19" s="153"/>
      <c r="D19" s="168"/>
      <c r="E19" s="169" t="s">
        <v>37</v>
      </c>
      <c r="F19" s="170">
        <v>4470.0</v>
      </c>
      <c r="G19" s="167"/>
      <c r="H19" s="170">
        <v>0.0</v>
      </c>
      <c r="I19" s="167"/>
      <c r="J19" s="170">
        <v>0.0</v>
      </c>
      <c r="K19" s="167"/>
      <c r="L19" s="170">
        <v>0.0</v>
      </c>
      <c r="M19" s="167"/>
      <c r="N19" s="170">
        <v>0.0</v>
      </c>
      <c r="O19" s="171"/>
      <c r="P19" s="170">
        <f t="shared" si="1"/>
        <v>4470</v>
      </c>
      <c r="Q19" s="171"/>
      <c r="R19" s="161"/>
    </row>
    <row r="20" ht="24.0" customHeight="1">
      <c r="A20" s="176"/>
      <c r="B20" s="153"/>
      <c r="C20" s="153"/>
      <c r="D20" s="168"/>
      <c r="E20" s="169" t="s">
        <v>32</v>
      </c>
      <c r="F20" s="170">
        <v>0.0</v>
      </c>
      <c r="G20" s="167"/>
      <c r="H20" s="170">
        <v>1500.0</v>
      </c>
      <c r="I20" s="167"/>
      <c r="J20" s="170">
        <v>0.0</v>
      </c>
      <c r="K20" s="167"/>
      <c r="L20" s="170">
        <v>0.0</v>
      </c>
      <c r="M20" s="167"/>
      <c r="N20" s="170">
        <v>0.0</v>
      </c>
      <c r="O20" s="171"/>
      <c r="P20" s="170">
        <f t="shared" si="1"/>
        <v>1500</v>
      </c>
      <c r="Q20" s="171"/>
      <c r="R20" s="161"/>
    </row>
    <row r="21" ht="24.0" customHeight="1">
      <c r="A21" s="176"/>
      <c r="B21" s="153"/>
      <c r="C21" s="153"/>
      <c r="D21" s="177"/>
      <c r="E21" s="178" t="s">
        <v>33</v>
      </c>
      <c r="F21" s="179">
        <v>0.0</v>
      </c>
      <c r="H21" s="179">
        <v>13677.0</v>
      </c>
      <c r="J21" s="179">
        <v>0.0</v>
      </c>
      <c r="L21" s="179">
        <v>0.0</v>
      </c>
      <c r="N21" s="179">
        <v>0.0</v>
      </c>
      <c r="O21" s="180"/>
      <c r="P21" s="170">
        <f t="shared" si="1"/>
        <v>13677</v>
      </c>
      <c r="Q21" s="180"/>
      <c r="R21" s="161"/>
    </row>
    <row r="22" ht="36.0" customHeight="1">
      <c r="A22" s="176"/>
      <c r="B22" s="153"/>
      <c r="C22" s="153"/>
      <c r="D22" s="181"/>
      <c r="E22" s="182" t="s">
        <v>34</v>
      </c>
      <c r="F22" s="181">
        <f>SUM(F23:F26)</f>
        <v>668097</v>
      </c>
      <c r="G22" s="183"/>
      <c r="H22" s="181">
        <f>SUM(H23:H26)</f>
        <v>0</v>
      </c>
      <c r="I22" s="183"/>
      <c r="J22" s="181">
        <f>SUM(K23:K26)</f>
        <v>0</v>
      </c>
      <c r="K22" s="183"/>
      <c r="L22" s="181">
        <f>SUM(L23:L26)</f>
        <v>0</v>
      </c>
      <c r="M22" s="183"/>
      <c r="N22" s="181">
        <f>SUM(N23:N26)</f>
        <v>0</v>
      </c>
      <c r="O22" s="181"/>
      <c r="P22" s="166">
        <f t="shared" si="1"/>
        <v>668097</v>
      </c>
      <c r="Q22" s="181"/>
      <c r="R22" s="161"/>
    </row>
    <row r="23" ht="24.0" customHeight="1">
      <c r="A23" s="176"/>
      <c r="B23" s="153"/>
      <c r="C23" s="153"/>
      <c r="D23" s="184"/>
      <c r="E23" s="169" t="s">
        <v>35</v>
      </c>
      <c r="F23" s="170">
        <v>668097.0</v>
      </c>
      <c r="G23" s="167"/>
      <c r="H23" s="170">
        <v>0.0</v>
      </c>
      <c r="I23" s="167"/>
      <c r="J23" s="170">
        <v>0.0</v>
      </c>
      <c r="K23" s="167"/>
      <c r="L23" s="170">
        <v>0.0</v>
      </c>
      <c r="M23" s="167"/>
      <c r="N23" s="170">
        <v>0.0</v>
      </c>
      <c r="O23" s="171"/>
      <c r="P23" s="170">
        <f t="shared" si="1"/>
        <v>668097</v>
      </c>
      <c r="Q23" s="171"/>
      <c r="R23" s="161"/>
    </row>
    <row r="24" ht="24.0" customHeight="1">
      <c r="A24" s="176"/>
      <c r="B24" s="153"/>
      <c r="C24" s="153"/>
      <c r="D24" s="184"/>
      <c r="E24" s="169" t="s">
        <v>36</v>
      </c>
      <c r="F24" s="170">
        <v>0.0</v>
      </c>
      <c r="G24" s="167"/>
      <c r="H24" s="170"/>
      <c r="I24" s="170">
        <v>0.0</v>
      </c>
      <c r="J24" s="170"/>
      <c r="K24" s="170">
        <v>0.0</v>
      </c>
      <c r="L24" s="170"/>
      <c r="M24" s="170">
        <v>0.0</v>
      </c>
      <c r="N24" s="170">
        <v>0.0</v>
      </c>
      <c r="O24" s="171"/>
      <c r="P24" s="170">
        <f t="shared" si="1"/>
        <v>0</v>
      </c>
      <c r="Q24" s="171"/>
      <c r="R24" s="161"/>
    </row>
    <row r="25" ht="24.0" customHeight="1">
      <c r="A25" s="176"/>
      <c r="B25" s="153"/>
      <c r="C25" s="153"/>
      <c r="D25" s="184"/>
      <c r="E25" s="169" t="s">
        <v>37</v>
      </c>
      <c r="F25" s="170">
        <v>0.0</v>
      </c>
      <c r="G25" s="167"/>
      <c r="H25" s="170">
        <v>0.0</v>
      </c>
      <c r="I25" s="167"/>
      <c r="J25" s="170">
        <v>0.0</v>
      </c>
      <c r="K25" s="167"/>
      <c r="L25" s="170">
        <v>0.0</v>
      </c>
      <c r="M25" s="167"/>
      <c r="N25" s="170">
        <v>0.0</v>
      </c>
      <c r="O25" s="171"/>
      <c r="P25" s="170">
        <f t="shared" si="1"/>
        <v>0</v>
      </c>
      <c r="Q25" s="171"/>
      <c r="R25" s="161"/>
    </row>
    <row r="26" ht="24.0" customHeight="1">
      <c r="A26" s="176"/>
      <c r="B26" s="153"/>
      <c r="C26" s="153"/>
      <c r="D26" s="184"/>
      <c r="E26" s="169" t="s">
        <v>33</v>
      </c>
      <c r="F26" s="170">
        <v>0.0</v>
      </c>
      <c r="G26" s="167"/>
      <c r="H26" s="170">
        <v>0.0</v>
      </c>
      <c r="I26" s="167"/>
      <c r="J26" s="170">
        <v>0.0</v>
      </c>
      <c r="K26" s="167"/>
      <c r="L26" s="170">
        <v>0.0</v>
      </c>
      <c r="M26" s="167"/>
      <c r="N26" s="170">
        <v>0.0</v>
      </c>
      <c r="O26" s="180"/>
      <c r="P26" s="179">
        <f t="shared" si="1"/>
        <v>0</v>
      </c>
      <c r="Q26" s="180"/>
      <c r="R26" s="161"/>
    </row>
    <row r="27">
      <c r="A27" s="186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</row>
    <row r="28">
      <c r="A28" s="187"/>
      <c r="B28" s="188"/>
      <c r="C28" s="188"/>
      <c r="D28" s="188"/>
      <c r="E28" s="188"/>
      <c r="F28" s="188"/>
      <c r="G28" s="188"/>
      <c r="H28" s="188"/>
      <c r="I28" s="188"/>
      <c r="J28" s="188"/>
      <c r="K28" s="188"/>
      <c r="L28" s="188"/>
      <c r="M28" s="188"/>
      <c r="N28" s="188"/>
      <c r="O28" s="189"/>
      <c r="P28" s="189"/>
      <c r="Q28" s="189"/>
      <c r="R28" s="151"/>
    </row>
    <row r="29" ht="39.75" customHeight="1">
      <c r="A29" s="176"/>
      <c r="B29" s="153"/>
      <c r="C29" s="153"/>
      <c r="D29" s="131"/>
      <c r="E29" s="131"/>
      <c r="F29" s="131"/>
      <c r="G29" s="132"/>
      <c r="H29" s="132"/>
      <c r="I29" s="133">
        <f t="array" ref="I29">(INDIRECT("I" &amp; ROW() + 1)/INDIRECT("D" &amp; ROW() + 1))</f>
        <v>0.4843308072</v>
      </c>
      <c r="J29" s="134"/>
      <c r="K29" s="132"/>
      <c r="L29" s="135"/>
      <c r="M29" s="136">
        <f t="array" ref="M29">(1 - INDIRECT("I" &amp; ROW()))</f>
        <v>0.5156691928</v>
      </c>
      <c r="N29" s="137"/>
      <c r="O29" s="137"/>
      <c r="P29" s="132"/>
      <c r="Q29" s="132"/>
      <c r="R29" s="151"/>
    </row>
    <row r="30" ht="39.75" customHeight="1">
      <c r="A30" s="176"/>
      <c r="B30" s="153"/>
      <c r="C30" s="153"/>
      <c r="D30" s="140">
        <f>SUM(F50:N50)</f>
        <v>679550</v>
      </c>
      <c r="E30" s="141"/>
      <c r="F30" s="141"/>
      <c r="G30" s="132"/>
      <c r="I30" s="142">
        <f>SUM(F35:N35)</f>
        <v>329127</v>
      </c>
      <c r="K30" s="132"/>
      <c r="L30" s="135">
        <f>D30-I30</f>
        <v>350423</v>
      </c>
      <c r="N30" s="137">
        <v>0.0</v>
      </c>
      <c r="P30" s="132"/>
      <c r="Q30" s="132"/>
      <c r="R30" s="190"/>
    </row>
    <row r="31">
      <c r="A31" s="176"/>
      <c r="B31" s="153"/>
      <c r="C31" s="153"/>
      <c r="D31" s="191" t="s">
        <v>1</v>
      </c>
      <c r="E31" s="18"/>
      <c r="F31" s="18"/>
      <c r="G31" s="18"/>
      <c r="H31" s="18"/>
      <c r="I31" s="191" t="s">
        <v>2</v>
      </c>
      <c r="J31" s="18"/>
      <c r="K31" s="18"/>
      <c r="L31" s="191" t="s">
        <v>3</v>
      </c>
      <c r="M31" s="18"/>
      <c r="N31" s="192" t="s">
        <v>14</v>
      </c>
      <c r="O31" s="18"/>
      <c r="P31" s="18"/>
      <c r="Q31" s="18"/>
      <c r="R31" s="151"/>
    </row>
    <row r="32" ht="27.0" customHeight="1">
      <c r="A32" s="186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</row>
    <row r="33" ht="27.0" customHeight="1">
      <c r="A33" s="152"/>
      <c r="B33" s="152"/>
      <c r="C33" s="151"/>
      <c r="D33" s="193" t="s">
        <v>38</v>
      </c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51"/>
    </row>
    <row r="34" ht="27.0" customHeight="1">
      <c r="A34" s="155" t="s">
        <v>40</v>
      </c>
      <c r="B34" s="156" t="s">
        <v>41</v>
      </c>
      <c r="C34" s="151"/>
      <c r="D34" s="157"/>
      <c r="E34" s="158" t="s">
        <v>6</v>
      </c>
      <c r="F34" s="159" t="s">
        <v>15</v>
      </c>
      <c r="G34" s="160"/>
      <c r="H34" s="159" t="s">
        <v>16</v>
      </c>
      <c r="I34" s="160"/>
      <c r="J34" s="159" t="s">
        <v>17</v>
      </c>
      <c r="K34" s="160"/>
      <c r="L34" s="159" t="s">
        <v>18</v>
      </c>
      <c r="M34" s="160"/>
      <c r="N34" s="159" t="s">
        <v>19</v>
      </c>
      <c r="O34" s="157"/>
      <c r="P34" s="159" t="s">
        <v>12</v>
      </c>
      <c r="Q34" s="157"/>
      <c r="R34" s="151"/>
    </row>
    <row r="35" ht="27.0" customHeight="1">
      <c r="A35" s="162" t="s">
        <v>42</v>
      </c>
      <c r="B35" s="163">
        <v>44932.0</v>
      </c>
      <c r="C35" s="153"/>
      <c r="D35" s="164"/>
      <c r="E35" s="165" t="s">
        <v>13</v>
      </c>
      <c r="F35" s="166">
        <f>SUM(F36:F49)</f>
        <v>30431</v>
      </c>
      <c r="G35" s="167"/>
      <c r="H35" s="166">
        <f>SUM(H36:H49)</f>
        <v>172647</v>
      </c>
      <c r="I35" s="167"/>
      <c r="J35" s="166">
        <f>SUM(J36:J49)</f>
        <v>105400</v>
      </c>
      <c r="K35" s="167"/>
      <c r="L35" s="166">
        <f>SUM(L36:L49)</f>
        <v>16314</v>
      </c>
      <c r="M35" s="167"/>
      <c r="N35" s="166">
        <f>SUM(N36:N49)</f>
        <v>4335</v>
      </c>
      <c r="O35" s="166"/>
      <c r="P35" s="166">
        <f t="shared" ref="P35:P54" si="2">SUM(F35:O35)</f>
        <v>329127</v>
      </c>
      <c r="Q35" s="166"/>
      <c r="R35" s="151"/>
    </row>
    <row r="36" ht="27.0" customHeight="1">
      <c r="A36" s="162" t="s">
        <v>43</v>
      </c>
      <c r="B36" s="163">
        <v>45120.0</v>
      </c>
      <c r="C36" s="153"/>
      <c r="D36" s="168"/>
      <c r="E36" s="169" t="s">
        <v>20</v>
      </c>
      <c r="F36" s="170">
        <v>0.0</v>
      </c>
      <c r="G36" s="167"/>
      <c r="H36" s="170">
        <f>119957+5680</f>
        <v>125637</v>
      </c>
      <c r="I36" s="167"/>
      <c r="J36" s="170">
        <v>0.0</v>
      </c>
      <c r="K36" s="167"/>
      <c r="L36" s="170">
        <v>0.0</v>
      </c>
      <c r="M36" s="167"/>
      <c r="N36" s="170">
        <v>0.0</v>
      </c>
      <c r="O36" s="171"/>
      <c r="P36" s="170">
        <f t="shared" si="2"/>
        <v>125637</v>
      </c>
      <c r="Q36" s="194"/>
      <c r="R36" s="151"/>
    </row>
    <row r="37" ht="27.0" customHeight="1">
      <c r="A37" s="162" t="s">
        <v>44</v>
      </c>
      <c r="B37" s="172" t="s">
        <v>45</v>
      </c>
      <c r="C37" s="153"/>
      <c r="D37" s="168"/>
      <c r="E37" s="169" t="s">
        <v>21</v>
      </c>
      <c r="F37" s="170">
        <f>4039+5558+620+1884</f>
        <v>12101</v>
      </c>
      <c r="G37" s="167"/>
      <c r="H37" s="170">
        <f>729+2903+1056+1604+620+2048</f>
        <v>8960</v>
      </c>
      <c r="I37" s="167"/>
      <c r="J37" s="170">
        <f>2364+5192+497+620+669+4310</f>
        <v>13652</v>
      </c>
      <c r="K37" s="167"/>
      <c r="L37" s="170">
        <f>2061+570+620+2675+1399+269+600+580</f>
        <v>8774</v>
      </c>
      <c r="M37" s="167"/>
      <c r="N37" s="170">
        <v>1790.0</v>
      </c>
      <c r="O37" s="171"/>
      <c r="P37" s="170">
        <f t="shared" si="2"/>
        <v>45277</v>
      </c>
      <c r="Q37" s="194"/>
      <c r="R37" s="151"/>
    </row>
    <row r="38" ht="27.0" customHeight="1">
      <c r="A38" s="162" t="s">
        <v>46</v>
      </c>
      <c r="B38" s="172" t="s">
        <v>47</v>
      </c>
      <c r="C38" s="151"/>
      <c r="D38" s="168"/>
      <c r="E38" s="173" t="s">
        <v>22</v>
      </c>
      <c r="F38" s="170">
        <v>0.0</v>
      </c>
      <c r="G38" s="167"/>
      <c r="H38" s="170">
        <f>1570+3197+4790</f>
        <v>9557</v>
      </c>
      <c r="I38" s="167"/>
      <c r="J38" s="170">
        <f>1900+6990+938</f>
        <v>9828</v>
      </c>
      <c r="K38" s="167"/>
      <c r="L38" s="170">
        <v>1250.0</v>
      </c>
      <c r="M38" s="167"/>
      <c r="N38" s="170">
        <v>0.0</v>
      </c>
      <c r="O38" s="171"/>
      <c r="P38" s="170">
        <f t="shared" si="2"/>
        <v>20635</v>
      </c>
      <c r="Q38" s="194"/>
      <c r="R38" s="151"/>
    </row>
    <row r="39" ht="27.0" customHeight="1">
      <c r="A39" s="174" t="s">
        <v>48</v>
      </c>
      <c r="B39" s="175" t="s">
        <v>49</v>
      </c>
      <c r="C39" s="153"/>
      <c r="D39" s="168"/>
      <c r="E39" s="173" t="s">
        <v>23</v>
      </c>
      <c r="F39" s="170">
        <f>1270+2250</f>
        <v>3520</v>
      </c>
      <c r="G39" s="167"/>
      <c r="H39" s="170">
        <f>1790+4850+2610+2140</f>
        <v>11390</v>
      </c>
      <c r="I39" s="167"/>
      <c r="J39" s="170">
        <f>2190+2400+2190</f>
        <v>6780</v>
      </c>
      <c r="K39" s="167"/>
      <c r="L39" s="170">
        <f>2045+2645</f>
        <v>4690</v>
      </c>
      <c r="M39" s="167"/>
      <c r="N39" s="170">
        <v>2545.0</v>
      </c>
      <c r="O39" s="171"/>
      <c r="P39" s="170">
        <f t="shared" si="2"/>
        <v>28925</v>
      </c>
      <c r="Q39" s="194"/>
      <c r="R39" s="151"/>
    </row>
    <row r="40" ht="27.0" customHeight="1">
      <c r="A40" s="176"/>
      <c r="B40" s="153"/>
      <c r="C40" s="153"/>
      <c r="D40" s="168"/>
      <c r="E40" s="169" t="s">
        <v>24</v>
      </c>
      <c r="F40" s="170">
        <v>0.0</v>
      </c>
      <c r="G40" s="167"/>
      <c r="H40" s="170">
        <v>2180.0</v>
      </c>
      <c r="I40" s="167"/>
      <c r="J40" s="170">
        <v>2500.0</v>
      </c>
      <c r="K40" s="167"/>
      <c r="L40" s="170">
        <v>0.0</v>
      </c>
      <c r="M40" s="167"/>
      <c r="N40" s="170">
        <v>0.0</v>
      </c>
      <c r="O40" s="171"/>
      <c r="P40" s="170">
        <f t="shared" si="2"/>
        <v>4680</v>
      </c>
      <c r="Q40" s="194"/>
      <c r="R40" s="151"/>
    </row>
    <row r="41" ht="27.0" customHeight="1">
      <c r="A41" s="176"/>
      <c r="B41" s="153"/>
      <c r="C41" s="153"/>
      <c r="D41" s="168"/>
      <c r="E41" s="169" t="s">
        <v>25</v>
      </c>
      <c r="F41" s="170">
        <v>3790.0</v>
      </c>
      <c r="G41" s="167"/>
      <c r="H41" s="170">
        <v>0.0</v>
      </c>
      <c r="I41" s="167"/>
      <c r="J41" s="170">
        <v>0.0</v>
      </c>
      <c r="K41" s="167"/>
      <c r="L41" s="170">
        <v>0.0</v>
      </c>
      <c r="M41" s="167"/>
      <c r="N41" s="170">
        <v>0.0</v>
      </c>
      <c r="O41" s="171"/>
      <c r="P41" s="170">
        <f t="shared" si="2"/>
        <v>3790</v>
      </c>
      <c r="Q41" s="194"/>
      <c r="R41" s="151"/>
    </row>
    <row r="42" ht="27.0" customHeight="1">
      <c r="A42" s="186"/>
      <c r="B42" s="151"/>
      <c r="C42" s="151"/>
      <c r="D42" s="168"/>
      <c r="E42" s="169" t="s">
        <v>26</v>
      </c>
      <c r="F42" s="170">
        <v>5000.0</v>
      </c>
      <c r="G42" s="167"/>
      <c r="H42" s="170">
        <v>0.0</v>
      </c>
      <c r="I42" s="167"/>
      <c r="J42" s="170">
        <v>70000.0</v>
      </c>
      <c r="K42" s="167"/>
      <c r="L42" s="170">
        <v>0.0</v>
      </c>
      <c r="M42" s="167"/>
      <c r="N42" s="170">
        <v>0.0</v>
      </c>
      <c r="O42" s="171"/>
      <c r="P42" s="170">
        <f t="shared" si="2"/>
        <v>75000</v>
      </c>
      <c r="Q42" s="194"/>
      <c r="R42" s="151"/>
    </row>
    <row r="43" ht="27.0" customHeight="1">
      <c r="A43" s="176"/>
      <c r="B43" s="153"/>
      <c r="C43" s="153"/>
      <c r="D43" s="168"/>
      <c r="E43" s="169" t="s">
        <v>27</v>
      </c>
      <c r="F43" s="170">
        <v>0.0</v>
      </c>
      <c r="G43" s="167"/>
      <c r="H43" s="170">
        <v>0.0</v>
      </c>
      <c r="I43" s="167"/>
      <c r="J43" s="170">
        <v>0.0</v>
      </c>
      <c r="K43" s="167"/>
      <c r="L43" s="170">
        <v>0.0</v>
      </c>
      <c r="M43" s="167"/>
      <c r="N43" s="170">
        <v>0.0</v>
      </c>
      <c r="O43" s="171"/>
      <c r="P43" s="170">
        <f t="shared" si="2"/>
        <v>0</v>
      </c>
      <c r="Q43" s="194"/>
      <c r="R43" s="151"/>
    </row>
    <row r="44" ht="27.0" customHeight="1">
      <c r="A44" s="176"/>
      <c r="B44" s="153"/>
      <c r="C44" s="153"/>
      <c r="D44" s="168"/>
      <c r="E44" s="169" t="s">
        <v>28</v>
      </c>
      <c r="F44" s="170">
        <v>0.0</v>
      </c>
      <c r="G44" s="167"/>
      <c r="H44" s="170">
        <v>0.0</v>
      </c>
      <c r="I44" s="167"/>
      <c r="J44" s="170">
        <v>0.0</v>
      </c>
      <c r="K44" s="167"/>
      <c r="L44" s="170">
        <v>0.0</v>
      </c>
      <c r="M44" s="167"/>
      <c r="N44" s="170">
        <v>0.0</v>
      </c>
      <c r="O44" s="171"/>
      <c r="P44" s="170">
        <f t="shared" si="2"/>
        <v>0</v>
      </c>
      <c r="Q44" s="194"/>
      <c r="R44" s="151"/>
    </row>
    <row r="45" ht="27.0" customHeight="1">
      <c r="A45" s="176"/>
      <c r="B45" s="153"/>
      <c r="C45" s="153"/>
      <c r="D45" s="168"/>
      <c r="E45" s="169" t="s">
        <v>29</v>
      </c>
      <c r="F45" s="170">
        <f>4030</f>
        <v>4030</v>
      </c>
      <c r="G45" s="167"/>
      <c r="H45" s="170">
        <v>9500.0</v>
      </c>
      <c r="I45" s="167"/>
      <c r="J45" s="170">
        <v>0.0</v>
      </c>
      <c r="K45" s="167"/>
      <c r="L45" s="170">
        <v>0.0</v>
      </c>
      <c r="M45" s="167"/>
      <c r="N45" s="170">
        <v>0.0</v>
      </c>
      <c r="O45" s="171"/>
      <c r="P45" s="170">
        <f t="shared" si="2"/>
        <v>13530</v>
      </c>
      <c r="Q45" s="194"/>
      <c r="R45" s="151"/>
    </row>
    <row r="46" ht="27.0" customHeight="1">
      <c r="A46" s="186"/>
      <c r="B46" s="151"/>
      <c r="C46" s="151"/>
      <c r="D46" s="168"/>
      <c r="E46" s="169" t="s">
        <v>30</v>
      </c>
      <c r="F46" s="170">
        <v>1990.0</v>
      </c>
      <c r="G46" s="167"/>
      <c r="H46" s="170">
        <v>1663.0</v>
      </c>
      <c r="I46" s="167"/>
      <c r="J46" s="170">
        <v>0.0</v>
      </c>
      <c r="K46" s="167"/>
      <c r="L46" s="170">
        <v>1600.0</v>
      </c>
      <c r="M46" s="167"/>
      <c r="N46" s="170">
        <v>0.0</v>
      </c>
      <c r="O46" s="171"/>
      <c r="P46" s="170">
        <f t="shared" si="2"/>
        <v>5253</v>
      </c>
      <c r="Q46" s="194"/>
      <c r="R46" s="151"/>
    </row>
    <row r="47" ht="27.0" customHeight="1">
      <c r="A47" s="176"/>
      <c r="B47" s="153"/>
      <c r="C47" s="153"/>
      <c r="D47" s="168"/>
      <c r="E47" s="169" t="s">
        <v>37</v>
      </c>
      <c r="F47" s="170">
        <v>0.0</v>
      </c>
      <c r="G47" s="167"/>
      <c r="H47" s="170">
        <v>0.0</v>
      </c>
      <c r="I47" s="167"/>
      <c r="J47" s="170">
        <v>0.0</v>
      </c>
      <c r="K47" s="167"/>
      <c r="L47" s="170">
        <v>0.0</v>
      </c>
      <c r="M47" s="167"/>
      <c r="N47" s="170">
        <v>0.0</v>
      </c>
      <c r="O47" s="171"/>
      <c r="P47" s="170">
        <f t="shared" si="2"/>
        <v>0</v>
      </c>
      <c r="Q47" s="194"/>
      <c r="R47" s="151"/>
    </row>
    <row r="48" ht="27.0" customHeight="1">
      <c r="A48" s="176"/>
      <c r="B48" s="153"/>
      <c r="C48" s="153"/>
      <c r="D48" s="168"/>
      <c r="E48" s="169" t="s">
        <v>32</v>
      </c>
      <c r="F48" s="170">
        <v>0.0</v>
      </c>
      <c r="G48" s="167"/>
      <c r="H48" s="170">
        <v>1760.0</v>
      </c>
      <c r="I48" s="167"/>
      <c r="J48" s="170">
        <v>2640.0</v>
      </c>
      <c r="K48" s="167"/>
      <c r="L48" s="170">
        <v>0.0</v>
      </c>
      <c r="M48" s="167"/>
      <c r="N48" s="170">
        <v>0.0</v>
      </c>
      <c r="O48" s="171"/>
      <c r="P48" s="170">
        <f t="shared" si="2"/>
        <v>4400</v>
      </c>
      <c r="Q48" s="194"/>
      <c r="R48" s="151"/>
    </row>
    <row r="49" ht="27.0" customHeight="1">
      <c r="A49" s="176"/>
      <c r="B49" s="153"/>
      <c r="C49" s="153"/>
      <c r="D49" s="177"/>
      <c r="E49" s="178" t="s">
        <v>33</v>
      </c>
      <c r="F49" s="179">
        <v>0.0</v>
      </c>
      <c r="H49" s="179">
        <v>2000.0</v>
      </c>
      <c r="J49" s="179">
        <v>0.0</v>
      </c>
      <c r="L49" s="179">
        <v>0.0</v>
      </c>
      <c r="N49" s="179">
        <v>0.0</v>
      </c>
      <c r="O49" s="180"/>
      <c r="P49" s="170">
        <f t="shared" si="2"/>
        <v>2000</v>
      </c>
      <c r="Q49" s="197"/>
      <c r="R49" s="151"/>
    </row>
    <row r="50" ht="27.0" customHeight="1">
      <c r="A50" s="176"/>
      <c r="B50" s="153"/>
      <c r="C50" s="153"/>
      <c r="D50" s="181"/>
      <c r="E50" s="182" t="s">
        <v>34</v>
      </c>
      <c r="F50" s="181">
        <f>SUM(F51:F54)</f>
        <v>679550</v>
      </c>
      <c r="G50" s="183"/>
      <c r="H50" s="181">
        <f>SUM(H51:H54)</f>
        <v>0</v>
      </c>
      <c r="I50" s="183"/>
      <c r="J50" s="181">
        <f>SUM(K51:K54)</f>
        <v>0</v>
      </c>
      <c r="K50" s="183"/>
      <c r="L50" s="181">
        <f>SUM(L51:L54)</f>
        <v>0</v>
      </c>
      <c r="M50" s="183"/>
      <c r="N50" s="181">
        <f>SUM(N51:N54)</f>
        <v>0</v>
      </c>
      <c r="O50" s="181"/>
      <c r="P50" s="166">
        <f t="shared" si="2"/>
        <v>679550</v>
      </c>
      <c r="Q50" s="181"/>
      <c r="R50" s="151"/>
    </row>
    <row r="51" ht="27.0" customHeight="1">
      <c r="A51" s="176"/>
      <c r="B51" s="153"/>
      <c r="C51" s="153"/>
      <c r="D51" s="184"/>
      <c r="E51" s="169" t="s">
        <v>35</v>
      </c>
      <c r="F51" s="170">
        <v>679550.0</v>
      </c>
      <c r="G51" s="167"/>
      <c r="H51" s="170">
        <v>0.0</v>
      </c>
      <c r="I51" s="167"/>
      <c r="J51" s="170">
        <v>0.0</v>
      </c>
      <c r="K51" s="167"/>
      <c r="L51" s="170">
        <v>0.0</v>
      </c>
      <c r="M51" s="167"/>
      <c r="N51" s="170">
        <v>0.0</v>
      </c>
      <c r="O51" s="171"/>
      <c r="P51" s="170">
        <f t="shared" si="2"/>
        <v>679550</v>
      </c>
      <c r="Q51" s="194"/>
      <c r="R51" s="151"/>
    </row>
    <row r="52" ht="27.0" customHeight="1">
      <c r="A52" s="176"/>
      <c r="B52" s="153"/>
      <c r="C52" s="153"/>
      <c r="D52" s="184"/>
      <c r="E52" s="169" t="s">
        <v>36</v>
      </c>
      <c r="F52" s="170">
        <v>0.0</v>
      </c>
      <c r="G52" s="167"/>
      <c r="H52" s="170"/>
      <c r="I52" s="170">
        <v>0.0</v>
      </c>
      <c r="J52" s="170"/>
      <c r="K52" s="170">
        <v>0.0</v>
      </c>
      <c r="L52" s="170"/>
      <c r="M52" s="170">
        <v>0.0</v>
      </c>
      <c r="N52" s="170">
        <v>0.0</v>
      </c>
      <c r="O52" s="171"/>
      <c r="P52" s="170">
        <f t="shared" si="2"/>
        <v>0</v>
      </c>
      <c r="Q52" s="194"/>
      <c r="R52" s="151"/>
    </row>
    <row r="53" ht="27.0" customHeight="1">
      <c r="A53" s="186"/>
      <c r="B53" s="151"/>
      <c r="C53" s="151"/>
      <c r="D53" s="184"/>
      <c r="E53" s="169" t="s">
        <v>37</v>
      </c>
      <c r="F53" s="170">
        <v>0.0</v>
      </c>
      <c r="G53" s="167"/>
      <c r="H53" s="170">
        <v>0.0</v>
      </c>
      <c r="I53" s="167"/>
      <c r="J53" s="170">
        <v>0.0</v>
      </c>
      <c r="K53" s="167"/>
      <c r="L53" s="170">
        <v>0.0</v>
      </c>
      <c r="M53" s="167"/>
      <c r="N53" s="170">
        <v>0.0</v>
      </c>
      <c r="O53" s="171"/>
      <c r="P53" s="170">
        <f t="shared" si="2"/>
        <v>0</v>
      </c>
      <c r="Q53" s="194"/>
      <c r="R53" s="151"/>
    </row>
    <row r="54" ht="27.0" customHeight="1">
      <c r="A54" s="187"/>
      <c r="B54" s="188"/>
      <c r="C54" s="188"/>
      <c r="D54" s="184"/>
      <c r="E54" s="169" t="s">
        <v>33</v>
      </c>
      <c r="F54" s="170">
        <v>0.0</v>
      </c>
      <c r="G54" s="167"/>
      <c r="H54" s="170">
        <v>0.0</v>
      </c>
      <c r="I54" s="167"/>
      <c r="J54" s="170">
        <v>0.0</v>
      </c>
      <c r="K54" s="167"/>
      <c r="L54" s="170">
        <v>0.0</v>
      </c>
      <c r="M54" s="167"/>
      <c r="N54" s="170">
        <v>0.0</v>
      </c>
      <c r="O54" s="171"/>
      <c r="P54" s="170">
        <f t="shared" si="2"/>
        <v>0</v>
      </c>
      <c r="Q54" s="194"/>
      <c r="R54" s="189"/>
    </row>
    <row r="55" ht="39.75" customHeight="1">
      <c r="A55" s="176"/>
      <c r="B55" s="153"/>
      <c r="C55" s="153"/>
      <c r="D55" s="131"/>
      <c r="E55" s="131"/>
      <c r="F55" s="131"/>
      <c r="G55" s="132"/>
      <c r="H55" s="132"/>
      <c r="I55" s="133">
        <f t="array" ref="I55">(INDIRECT("I" &amp; ROW() + 1)/INDIRECT("D" &amp; ROW() + 1))</f>
        <v>0.465579725</v>
      </c>
      <c r="J55" s="134"/>
      <c r="K55" s="132"/>
      <c r="L55" s="135"/>
      <c r="M55" s="136">
        <f t="array" ref="M55">(1 - INDIRECT("I" &amp; ROW()))</f>
        <v>0.534420275</v>
      </c>
      <c r="N55" s="137"/>
      <c r="O55" s="137"/>
      <c r="P55" s="132"/>
      <c r="Q55" s="132"/>
      <c r="R55" s="151"/>
    </row>
    <row r="56" ht="39.75" customHeight="1">
      <c r="A56" s="176"/>
      <c r="B56" s="153"/>
      <c r="C56" s="153"/>
      <c r="D56" s="140">
        <f>P76</f>
        <v>729570</v>
      </c>
      <c r="E56" s="141"/>
      <c r="F56" s="141"/>
      <c r="G56" s="132"/>
      <c r="I56" s="134">
        <f>P61</f>
        <v>339673</v>
      </c>
      <c r="K56" s="132"/>
      <c r="L56" s="135">
        <f>D56-I56</f>
        <v>389897</v>
      </c>
      <c r="N56" s="137">
        <v>0.0</v>
      </c>
      <c r="P56" s="132"/>
      <c r="Q56" s="132"/>
      <c r="R56" s="190"/>
    </row>
    <row r="57">
      <c r="A57" s="176"/>
      <c r="B57" s="153"/>
      <c r="C57" s="153"/>
      <c r="D57" s="191" t="s">
        <v>1</v>
      </c>
      <c r="E57" s="18"/>
      <c r="F57" s="18"/>
      <c r="G57" s="18"/>
      <c r="H57" s="18"/>
      <c r="I57" s="191" t="s">
        <v>2</v>
      </c>
      <c r="J57" s="18"/>
      <c r="K57" s="18"/>
      <c r="L57" s="191" t="s">
        <v>3</v>
      </c>
      <c r="M57" s="18"/>
      <c r="N57" s="192" t="s">
        <v>14</v>
      </c>
      <c r="O57" s="18"/>
      <c r="P57" s="18"/>
      <c r="Q57" s="18"/>
      <c r="R57" s="151"/>
    </row>
    <row r="58" ht="27.0" customHeight="1">
      <c r="A58" s="151"/>
      <c r="B58" s="151"/>
      <c r="C58" s="151"/>
      <c r="D58" s="151"/>
      <c r="E58" s="151"/>
      <c r="F58" s="151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</row>
    <row r="59" ht="27.0" customHeight="1">
      <c r="A59" s="152"/>
      <c r="B59" s="152"/>
      <c r="C59" s="151"/>
      <c r="D59" s="193" t="s">
        <v>50</v>
      </c>
      <c r="E59" s="139"/>
      <c r="F59" s="139"/>
      <c r="G59" s="139"/>
      <c r="H59" s="139"/>
      <c r="I59" s="139"/>
      <c r="J59" s="139"/>
      <c r="K59" s="139"/>
      <c r="L59" s="139"/>
      <c r="M59" s="139"/>
      <c r="N59" s="139"/>
      <c r="O59" s="139"/>
      <c r="P59" s="139"/>
      <c r="Q59" s="139"/>
      <c r="R59" s="151"/>
    </row>
    <row r="60" ht="27.0" customHeight="1">
      <c r="A60" s="155" t="s">
        <v>40</v>
      </c>
      <c r="B60" s="156" t="s">
        <v>41</v>
      </c>
      <c r="C60" s="151"/>
      <c r="D60" s="157"/>
      <c r="E60" s="158" t="s">
        <v>6</v>
      </c>
      <c r="F60" s="159" t="s">
        <v>15</v>
      </c>
      <c r="G60" s="160"/>
      <c r="H60" s="159" t="s">
        <v>16</v>
      </c>
      <c r="I60" s="160"/>
      <c r="J60" s="159" t="s">
        <v>17</v>
      </c>
      <c r="K60" s="160"/>
      <c r="L60" s="159" t="s">
        <v>18</v>
      </c>
      <c r="M60" s="160"/>
      <c r="N60" s="159" t="s">
        <v>19</v>
      </c>
      <c r="O60" s="157"/>
      <c r="P60" s="159" t="s">
        <v>12</v>
      </c>
      <c r="Q60" s="157"/>
      <c r="R60" s="151"/>
    </row>
    <row r="61" ht="27.0" customHeight="1">
      <c r="A61" s="162" t="s">
        <v>42</v>
      </c>
      <c r="B61" s="163">
        <v>44932.0</v>
      </c>
      <c r="C61" s="153"/>
      <c r="D61" s="164"/>
      <c r="E61" s="165" t="s">
        <v>13</v>
      </c>
      <c r="F61" s="166">
        <f>SUM(F62:F75)</f>
        <v>51955</v>
      </c>
      <c r="G61" s="167"/>
      <c r="H61" s="166">
        <f>SUM(H62:H75)</f>
        <v>162880</v>
      </c>
      <c r="I61" s="167"/>
      <c r="J61" s="166">
        <f>SUM(J62:J75)</f>
        <v>18852</v>
      </c>
      <c r="K61" s="167"/>
      <c r="L61" s="166">
        <f>SUM(L62:L75)</f>
        <v>59223</v>
      </c>
      <c r="M61" s="167"/>
      <c r="N61" s="166">
        <f>SUM(N62:N75)</f>
        <v>46763</v>
      </c>
      <c r="O61" s="166"/>
      <c r="P61" s="166">
        <f t="shared" ref="P61:P80" si="3">SUM(F61:O61)</f>
        <v>339673</v>
      </c>
      <c r="Q61" s="166"/>
      <c r="R61" s="151"/>
    </row>
    <row r="62" ht="27.0" customHeight="1">
      <c r="A62" s="162" t="s">
        <v>43</v>
      </c>
      <c r="B62" s="163">
        <v>45120.0</v>
      </c>
      <c r="C62" s="153"/>
      <c r="D62" s="168"/>
      <c r="E62" s="169" t="s">
        <v>20</v>
      </c>
      <c r="F62" s="170">
        <v>0.0</v>
      </c>
      <c r="G62" s="167"/>
      <c r="H62" s="170">
        <v>108750.0</v>
      </c>
      <c r="I62" s="167"/>
      <c r="J62" s="170">
        <v>0.0</v>
      </c>
      <c r="K62" s="167"/>
      <c r="L62" s="170">
        <v>0.0</v>
      </c>
      <c r="M62" s="167"/>
      <c r="N62" s="170">
        <v>0.0</v>
      </c>
      <c r="O62" s="170"/>
      <c r="P62" s="201">
        <f t="shared" si="3"/>
        <v>108750</v>
      </c>
      <c r="Q62" s="194"/>
      <c r="R62" s="151"/>
    </row>
    <row r="63" ht="27.0" customHeight="1">
      <c r="A63" s="162" t="s">
        <v>44</v>
      </c>
      <c r="B63" s="172" t="s">
        <v>45</v>
      </c>
      <c r="C63" s="153"/>
      <c r="D63" s="168"/>
      <c r="E63" s="169" t="s">
        <v>53</v>
      </c>
      <c r="F63" s="170">
        <f>717+699+2580+2158+1925+4377+2299</f>
        <v>14755</v>
      </c>
      <c r="G63" s="167"/>
      <c r="H63" s="170">
        <f>1747+700+600+1497+699+1459+4099+2199</f>
        <v>13000</v>
      </c>
      <c r="I63" s="167"/>
      <c r="J63" s="170">
        <f>748+600+781+499+500+1363+1123+649+620+2409</f>
        <v>9292</v>
      </c>
      <c r="K63" s="167"/>
      <c r="L63" s="170">
        <f>7537+1090+703</f>
        <v>9330</v>
      </c>
      <c r="M63" s="167"/>
      <c r="N63" s="170">
        <f>979+6001+2097+500+2801</f>
        <v>12378</v>
      </c>
      <c r="O63" s="171"/>
      <c r="P63" s="170">
        <f t="shared" si="3"/>
        <v>58755</v>
      </c>
      <c r="Q63" s="194"/>
      <c r="R63" s="151"/>
    </row>
    <row r="64" ht="27.0" customHeight="1">
      <c r="A64" s="162" t="s">
        <v>46</v>
      </c>
      <c r="B64" s="172" t="s">
        <v>47</v>
      </c>
      <c r="C64" s="151"/>
      <c r="D64" s="168"/>
      <c r="E64" s="173" t="s">
        <v>22</v>
      </c>
      <c r="F64" s="170">
        <v>0.0</v>
      </c>
      <c r="G64" s="167"/>
      <c r="H64" s="170">
        <v>2485.0</v>
      </c>
      <c r="I64" s="167"/>
      <c r="J64" s="170">
        <v>0.0</v>
      </c>
      <c r="K64" s="167"/>
      <c r="L64" s="170">
        <f>600+4490</f>
        <v>5090</v>
      </c>
      <c r="M64" s="167"/>
      <c r="N64" s="170">
        <f>780+895</f>
        <v>1675</v>
      </c>
      <c r="O64" s="171"/>
      <c r="P64" s="170">
        <f t="shared" si="3"/>
        <v>9250</v>
      </c>
      <c r="Q64" s="194"/>
      <c r="R64" s="151"/>
    </row>
    <row r="65" ht="27.0" customHeight="1">
      <c r="A65" s="174" t="s">
        <v>48</v>
      </c>
      <c r="B65" s="175" t="s">
        <v>49</v>
      </c>
      <c r="C65" s="153"/>
      <c r="D65" s="168"/>
      <c r="E65" s="173" t="s">
        <v>23</v>
      </c>
      <c r="F65" s="170">
        <f>2840+3595+500+2290</f>
        <v>9225</v>
      </c>
      <c r="G65" s="167"/>
      <c r="H65" s="170">
        <f>1270+2085+3490+2390+2215+2290</f>
        <v>13740</v>
      </c>
      <c r="I65" s="167"/>
      <c r="J65" s="170">
        <f>2420</f>
        <v>2420</v>
      </c>
      <c r="K65" s="167"/>
      <c r="L65" s="170">
        <f>2390+2205+2260+2260+3125+2390</f>
        <v>14630</v>
      </c>
      <c r="M65" s="167"/>
      <c r="N65" s="170">
        <f>2285+800+9310+2260+2935+2620</f>
        <v>20210</v>
      </c>
      <c r="O65" s="171"/>
      <c r="P65" s="170">
        <f t="shared" si="3"/>
        <v>60225</v>
      </c>
      <c r="Q65" s="194"/>
      <c r="R65" s="151"/>
    </row>
    <row r="66" ht="27.0" customHeight="1">
      <c r="A66" s="176"/>
      <c r="B66" s="153"/>
      <c r="C66" s="153"/>
      <c r="D66" s="168"/>
      <c r="E66" s="169" t="s">
        <v>24</v>
      </c>
      <c r="F66" s="170">
        <f>1980</f>
        <v>1980</v>
      </c>
      <c r="G66" s="167"/>
      <c r="H66" s="170">
        <f>790+3020</f>
        <v>3810</v>
      </c>
      <c r="I66" s="167"/>
      <c r="J66" s="170">
        <v>1100.0</v>
      </c>
      <c r="K66" s="167"/>
      <c r="L66" s="170">
        <f>1680+1590+640</f>
        <v>3910</v>
      </c>
      <c r="M66" s="167"/>
      <c r="N66" s="170">
        <v>0.0</v>
      </c>
      <c r="O66" s="171"/>
      <c r="P66" s="170">
        <f t="shared" si="3"/>
        <v>10800</v>
      </c>
      <c r="Q66" s="194"/>
      <c r="R66" s="151"/>
    </row>
    <row r="67" ht="27.0" customHeight="1">
      <c r="A67" s="176"/>
      <c r="B67" s="153"/>
      <c r="C67" s="153"/>
      <c r="D67" s="168"/>
      <c r="E67" s="169" t="s">
        <v>25</v>
      </c>
      <c r="F67" s="170">
        <v>0.0</v>
      </c>
      <c r="G67" s="167"/>
      <c r="H67" s="170">
        <v>0.0</v>
      </c>
      <c r="I67" s="167"/>
      <c r="J67" s="170">
        <v>0.0</v>
      </c>
      <c r="K67" s="167"/>
      <c r="L67" s="170">
        <v>0.0</v>
      </c>
      <c r="M67" s="167"/>
      <c r="N67" s="170">
        <v>0.0</v>
      </c>
      <c r="O67" s="171"/>
      <c r="P67" s="170">
        <f t="shared" si="3"/>
        <v>0</v>
      </c>
      <c r="Q67" s="194"/>
      <c r="R67" s="151"/>
    </row>
    <row r="68" ht="27.0" customHeight="1">
      <c r="A68" s="186"/>
      <c r="B68" s="151"/>
      <c r="C68" s="151"/>
      <c r="D68" s="168"/>
      <c r="E68" s="169" t="s">
        <v>26</v>
      </c>
      <c r="F68" s="170">
        <v>10000.0</v>
      </c>
      <c r="G68" s="167"/>
      <c r="H68" s="170">
        <v>0.0</v>
      </c>
      <c r="I68" s="167"/>
      <c r="J68" s="170">
        <v>3170.0</v>
      </c>
      <c r="K68" s="167"/>
      <c r="L68" s="170">
        <v>1678.0</v>
      </c>
      <c r="M68" s="167"/>
      <c r="N68" s="170">
        <v>5300.0</v>
      </c>
      <c r="O68" s="171"/>
      <c r="P68" s="170">
        <f t="shared" si="3"/>
        <v>20148</v>
      </c>
      <c r="Q68" s="194"/>
      <c r="R68" s="151"/>
    </row>
    <row r="69" ht="27.0" customHeight="1">
      <c r="A69" s="176"/>
      <c r="B69" s="153"/>
      <c r="C69" s="153"/>
      <c r="D69" s="168"/>
      <c r="E69" s="169" t="s">
        <v>27</v>
      </c>
      <c r="F69" s="170">
        <v>13995.0</v>
      </c>
      <c r="G69" s="167"/>
      <c r="H69" s="170">
        <f>15990/2</f>
        <v>7995</v>
      </c>
      <c r="I69" s="167"/>
      <c r="J69" s="170">
        <v>0.0</v>
      </c>
      <c r="K69" s="167"/>
      <c r="L69" s="170">
        <f>16590+7995</f>
        <v>24585</v>
      </c>
      <c r="M69" s="167"/>
      <c r="N69" s="170">
        <v>0.0</v>
      </c>
      <c r="O69" s="171"/>
      <c r="P69" s="170">
        <f t="shared" si="3"/>
        <v>46575</v>
      </c>
      <c r="Q69" s="194"/>
      <c r="R69" s="151"/>
    </row>
    <row r="70" ht="27.0" customHeight="1">
      <c r="A70" s="176"/>
      <c r="B70" s="153"/>
      <c r="C70" s="153"/>
      <c r="D70" s="168"/>
      <c r="E70" s="169" t="s">
        <v>28</v>
      </c>
      <c r="F70" s="170">
        <v>0.0</v>
      </c>
      <c r="G70" s="167"/>
      <c r="H70" s="170">
        <v>0.0</v>
      </c>
      <c r="I70" s="167"/>
      <c r="J70" s="170">
        <v>0.0</v>
      </c>
      <c r="K70" s="167"/>
      <c r="L70" s="170">
        <v>0.0</v>
      </c>
      <c r="M70" s="167"/>
      <c r="N70" s="170">
        <v>0.0</v>
      </c>
      <c r="O70" s="171"/>
      <c r="P70" s="170">
        <f t="shared" si="3"/>
        <v>0</v>
      </c>
      <c r="Q70" s="194"/>
      <c r="R70" s="151"/>
    </row>
    <row r="71" ht="27.0" customHeight="1">
      <c r="A71" s="176"/>
      <c r="B71" s="153"/>
      <c r="C71" s="153"/>
      <c r="D71" s="168"/>
      <c r="E71" s="169" t="s">
        <v>29</v>
      </c>
      <c r="F71" s="170">
        <v>0.0</v>
      </c>
      <c r="G71" s="167"/>
      <c r="H71" s="170">
        <v>9500.0</v>
      </c>
      <c r="I71" s="167"/>
      <c r="J71" s="170">
        <v>0.0</v>
      </c>
      <c r="K71" s="167"/>
      <c r="L71" s="170">
        <v>0.0</v>
      </c>
      <c r="M71" s="167"/>
      <c r="N71" s="170">
        <v>0.0</v>
      </c>
      <c r="O71" s="171"/>
      <c r="P71" s="170">
        <f t="shared" si="3"/>
        <v>9500</v>
      </c>
      <c r="Q71" s="194"/>
      <c r="R71" s="151"/>
    </row>
    <row r="72" ht="27.0" customHeight="1">
      <c r="A72" s="186"/>
      <c r="B72" s="151"/>
      <c r="C72" s="151"/>
      <c r="D72" s="168"/>
      <c r="E72" s="169" t="s">
        <v>30</v>
      </c>
      <c r="F72" s="170">
        <v>2000.0</v>
      </c>
      <c r="G72" s="167"/>
      <c r="H72" s="170">
        <f>1600+2000</f>
        <v>3600</v>
      </c>
      <c r="I72" s="167"/>
      <c r="J72" s="170">
        <v>0.0</v>
      </c>
      <c r="K72" s="167"/>
      <c r="L72" s="170">
        <v>0.0</v>
      </c>
      <c r="M72" s="167"/>
      <c r="N72" s="170">
        <v>0.0</v>
      </c>
      <c r="O72" s="171"/>
      <c r="P72" s="170">
        <f t="shared" si="3"/>
        <v>5600</v>
      </c>
      <c r="Q72" s="194"/>
      <c r="R72" s="151"/>
    </row>
    <row r="73" ht="27.0" customHeight="1">
      <c r="A73" s="176"/>
      <c r="B73" s="153"/>
      <c r="C73" s="153"/>
      <c r="D73" s="168"/>
      <c r="E73" s="169" t="s">
        <v>37</v>
      </c>
      <c r="F73" s="170">
        <v>0.0</v>
      </c>
      <c r="G73" s="167"/>
      <c r="H73" s="170">
        <v>0.0</v>
      </c>
      <c r="I73" s="167"/>
      <c r="J73" s="170">
        <v>0.0</v>
      </c>
      <c r="K73" s="167"/>
      <c r="L73" s="170">
        <v>0.0</v>
      </c>
      <c r="M73" s="167"/>
      <c r="N73" s="170">
        <v>0.0</v>
      </c>
      <c r="O73" s="171"/>
      <c r="P73" s="170">
        <f t="shared" si="3"/>
        <v>0</v>
      </c>
      <c r="Q73" s="194"/>
      <c r="R73" s="151"/>
    </row>
    <row r="74" ht="27.0" customHeight="1">
      <c r="A74" s="176"/>
      <c r="B74" s="153"/>
      <c r="C74" s="153"/>
      <c r="D74" s="168"/>
      <c r="E74" s="169" t="s">
        <v>32</v>
      </c>
      <c r="F74" s="170">
        <v>0.0</v>
      </c>
      <c r="G74" s="167"/>
      <c r="H74" s="170">
        <v>0.0</v>
      </c>
      <c r="I74" s="167"/>
      <c r="J74" s="170">
        <v>2870.0</v>
      </c>
      <c r="K74" s="167"/>
      <c r="L74" s="170">
        <v>0.0</v>
      </c>
      <c r="M74" s="167"/>
      <c r="N74" s="170">
        <v>7200.0</v>
      </c>
      <c r="O74" s="171"/>
      <c r="P74" s="170">
        <f t="shared" si="3"/>
        <v>10070</v>
      </c>
      <c r="Q74" s="194"/>
      <c r="R74" s="151"/>
    </row>
    <row r="75" ht="27.0" customHeight="1">
      <c r="A75" s="176"/>
      <c r="B75" s="153"/>
      <c r="C75" s="153"/>
      <c r="D75" s="177"/>
      <c r="E75" s="178" t="s">
        <v>33</v>
      </c>
      <c r="F75" s="170">
        <v>0.0</v>
      </c>
      <c r="G75" s="167"/>
      <c r="H75" s="170">
        <v>0.0</v>
      </c>
      <c r="I75" s="167"/>
      <c r="J75" s="170">
        <v>0.0</v>
      </c>
      <c r="K75" s="167"/>
      <c r="L75" s="170">
        <v>0.0</v>
      </c>
      <c r="M75" s="167"/>
      <c r="N75" s="170">
        <v>0.0</v>
      </c>
      <c r="O75" s="180"/>
      <c r="P75" s="170">
        <f t="shared" si="3"/>
        <v>0</v>
      </c>
      <c r="Q75" s="197"/>
      <c r="R75" s="151"/>
    </row>
    <row r="76" ht="27.0" customHeight="1">
      <c r="A76" s="176"/>
      <c r="B76" s="153"/>
      <c r="C76" s="153"/>
      <c r="D76" s="181"/>
      <c r="E76" s="182" t="s">
        <v>34</v>
      </c>
      <c r="F76" s="181">
        <f>SUM(F77:F80)</f>
        <v>729570</v>
      </c>
      <c r="G76" s="183"/>
      <c r="H76" s="181">
        <f>SUM(H77:H80)</f>
        <v>0</v>
      </c>
      <c r="I76" s="183"/>
      <c r="J76" s="181">
        <f>SUM(K77:K80)</f>
        <v>0</v>
      </c>
      <c r="K76" s="183"/>
      <c r="L76" s="181">
        <f>SUM(L77:L80)</f>
        <v>0</v>
      </c>
      <c r="M76" s="183"/>
      <c r="N76" s="181">
        <f>SUM(N77:N80)</f>
        <v>0</v>
      </c>
      <c r="O76" s="181"/>
      <c r="P76" s="166">
        <f t="shared" si="3"/>
        <v>729570</v>
      </c>
      <c r="Q76" s="181"/>
      <c r="R76" s="151"/>
    </row>
    <row r="77" ht="27.0" customHeight="1">
      <c r="A77" s="176"/>
      <c r="B77" s="153"/>
      <c r="C77" s="153"/>
      <c r="D77" s="184"/>
      <c r="E77" s="169" t="s">
        <v>35</v>
      </c>
      <c r="F77" s="170">
        <v>681943.0</v>
      </c>
      <c r="G77" s="167"/>
      <c r="H77" s="170">
        <v>0.0</v>
      </c>
      <c r="I77" s="167"/>
      <c r="J77" s="170">
        <v>0.0</v>
      </c>
      <c r="K77" s="167"/>
      <c r="L77" s="170">
        <v>0.0</v>
      </c>
      <c r="M77" s="167"/>
      <c r="N77" s="170">
        <v>0.0</v>
      </c>
      <c r="O77" s="171"/>
      <c r="P77" s="170">
        <f t="shared" si="3"/>
        <v>681943</v>
      </c>
      <c r="Q77" s="194"/>
      <c r="R77" s="151"/>
    </row>
    <row r="78" ht="27.0" customHeight="1">
      <c r="A78" s="176"/>
      <c r="B78" s="153"/>
      <c r="C78" s="153"/>
      <c r="D78" s="184"/>
      <c r="E78" s="169" t="s">
        <v>36</v>
      </c>
      <c r="F78" s="170">
        <v>47627.0</v>
      </c>
      <c r="G78" s="167"/>
      <c r="H78" s="170"/>
      <c r="I78" s="170">
        <v>0.0</v>
      </c>
      <c r="J78" s="170"/>
      <c r="K78" s="170">
        <v>0.0</v>
      </c>
      <c r="L78" s="170"/>
      <c r="M78" s="170">
        <v>0.0</v>
      </c>
      <c r="N78" s="170">
        <v>0.0</v>
      </c>
      <c r="O78" s="171"/>
      <c r="P78" s="170">
        <f t="shared" si="3"/>
        <v>47627</v>
      </c>
      <c r="Q78" s="194"/>
      <c r="R78" s="151"/>
    </row>
    <row r="79" ht="27.0" customHeight="1">
      <c r="A79" s="186"/>
      <c r="B79" s="151"/>
      <c r="C79" s="151"/>
      <c r="D79" s="184"/>
      <c r="E79" s="169" t="s">
        <v>37</v>
      </c>
      <c r="F79" s="170">
        <v>0.0</v>
      </c>
      <c r="G79" s="167"/>
      <c r="H79" s="170">
        <v>0.0</v>
      </c>
      <c r="I79" s="167"/>
      <c r="J79" s="170">
        <v>0.0</v>
      </c>
      <c r="K79" s="167"/>
      <c r="L79" s="170">
        <v>0.0</v>
      </c>
      <c r="M79" s="167"/>
      <c r="N79" s="170">
        <v>0.0</v>
      </c>
      <c r="O79" s="171"/>
      <c r="P79" s="170">
        <f t="shared" si="3"/>
        <v>0</v>
      </c>
      <c r="Q79" s="194"/>
      <c r="R79" s="151"/>
    </row>
    <row r="80" ht="27.0" customHeight="1">
      <c r="A80" s="187"/>
      <c r="B80" s="188"/>
      <c r="C80" s="188"/>
      <c r="D80" s="184"/>
      <c r="E80" s="169" t="s">
        <v>33</v>
      </c>
      <c r="F80" s="170">
        <v>0.0</v>
      </c>
      <c r="G80" s="167"/>
      <c r="H80" s="170">
        <v>0.0</v>
      </c>
      <c r="I80" s="167"/>
      <c r="J80" s="170">
        <v>0.0</v>
      </c>
      <c r="K80" s="167"/>
      <c r="L80" s="170">
        <v>0.0</v>
      </c>
      <c r="M80" s="167"/>
      <c r="N80" s="170">
        <v>0.0</v>
      </c>
      <c r="O80" s="171"/>
      <c r="P80" s="170">
        <f t="shared" si="3"/>
        <v>0</v>
      </c>
      <c r="Q80" s="194"/>
      <c r="R80" s="189"/>
    </row>
    <row r="81" ht="35.25" customHeight="1">
      <c r="A81" s="176"/>
      <c r="B81" s="153"/>
      <c r="C81" s="153"/>
      <c r="D81" s="131"/>
      <c r="E81" s="131"/>
      <c r="F81" s="131"/>
      <c r="G81" s="132"/>
      <c r="H81" s="132"/>
      <c r="I81" s="133">
        <f>(I82/D82)</f>
        <v>0.6448210901</v>
      </c>
      <c r="K81" s="132"/>
      <c r="L81" s="135"/>
      <c r="M81" s="136">
        <f>(1 - I81)</f>
        <v>0.3551789099</v>
      </c>
      <c r="N81" s="137"/>
      <c r="O81" s="137"/>
      <c r="P81" s="132"/>
      <c r="Q81" s="132"/>
      <c r="R81" s="151"/>
    </row>
    <row r="82">
      <c r="A82" s="176"/>
      <c r="B82" s="153"/>
      <c r="C82" s="153"/>
      <c r="D82" s="140">
        <f>P102</f>
        <v>702812</v>
      </c>
      <c r="E82" s="141"/>
      <c r="F82" s="141"/>
      <c r="G82" s="132"/>
      <c r="I82" s="134">
        <f>P87</f>
        <v>453188</v>
      </c>
      <c r="K82" s="132"/>
      <c r="L82" s="135">
        <f>D82-I82</f>
        <v>249624</v>
      </c>
      <c r="N82" s="137">
        <v>0.0</v>
      </c>
      <c r="P82" s="132"/>
      <c r="Q82" s="132"/>
      <c r="R82" s="190"/>
    </row>
    <row r="83">
      <c r="A83" s="176"/>
      <c r="B83" s="153"/>
      <c r="C83" s="153"/>
      <c r="D83" s="191" t="s">
        <v>1</v>
      </c>
      <c r="E83" s="18"/>
      <c r="F83" s="18"/>
      <c r="G83" s="18"/>
      <c r="H83" s="18"/>
      <c r="I83" s="191" t="s">
        <v>2</v>
      </c>
      <c r="J83" s="18"/>
      <c r="K83" s="18"/>
      <c r="L83" s="191" t="s">
        <v>3</v>
      </c>
      <c r="M83" s="18"/>
      <c r="N83" s="192" t="s">
        <v>14</v>
      </c>
      <c r="O83" s="18"/>
      <c r="P83" s="18"/>
      <c r="Q83" s="18"/>
      <c r="R83" s="151"/>
    </row>
    <row r="84">
      <c r="A84" s="151"/>
      <c r="B84" s="151"/>
      <c r="C84" s="151"/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</row>
    <row r="85" ht="24.0" customHeight="1">
      <c r="A85" s="152"/>
      <c r="B85" s="152"/>
      <c r="C85" s="151"/>
      <c r="D85" s="193" t="s">
        <v>52</v>
      </c>
      <c r="E85" s="139"/>
      <c r="F85" s="139"/>
      <c r="G85" s="139"/>
      <c r="H85" s="139"/>
      <c r="I85" s="139"/>
      <c r="J85" s="139"/>
      <c r="K85" s="139"/>
      <c r="L85" s="139"/>
      <c r="M85" s="139"/>
      <c r="N85" s="139"/>
      <c r="O85" s="139"/>
      <c r="P85" s="139"/>
      <c r="Q85" s="139"/>
      <c r="R85" s="151"/>
    </row>
    <row r="86" ht="24.0" customHeight="1">
      <c r="A86" s="155" t="s">
        <v>40</v>
      </c>
      <c r="B86" s="156" t="s">
        <v>41</v>
      </c>
      <c r="C86" s="151"/>
      <c r="D86" s="157"/>
      <c r="E86" s="158" t="s">
        <v>6</v>
      </c>
      <c r="F86" s="159" t="s">
        <v>15</v>
      </c>
      <c r="G86" s="160"/>
      <c r="H86" s="159" t="s">
        <v>16</v>
      </c>
      <c r="I86" s="160"/>
      <c r="J86" s="159" t="s">
        <v>17</v>
      </c>
      <c r="K86" s="160"/>
      <c r="L86" s="159" t="s">
        <v>18</v>
      </c>
      <c r="M86" s="160"/>
      <c r="N86" s="159" t="s">
        <v>19</v>
      </c>
      <c r="O86" s="157"/>
      <c r="P86" s="159" t="s">
        <v>12</v>
      </c>
      <c r="Q86" s="157"/>
      <c r="R86" s="151"/>
    </row>
    <row r="87" ht="24.0" customHeight="1">
      <c r="A87" s="162" t="s">
        <v>42</v>
      </c>
      <c r="B87" s="163">
        <v>44932.0</v>
      </c>
      <c r="C87" s="153"/>
      <c r="D87" s="164"/>
      <c r="E87" s="165" t="s">
        <v>13</v>
      </c>
      <c r="F87" s="166">
        <f>SUM(F88:F101)</f>
        <v>33075</v>
      </c>
      <c r="G87" s="167"/>
      <c r="H87" s="166">
        <f>SUM(H88:H101)</f>
        <v>163378</v>
      </c>
      <c r="I87" s="167"/>
      <c r="J87" s="166">
        <f>SUM(J88:J101)</f>
        <v>71740</v>
      </c>
      <c r="K87" s="167"/>
      <c r="L87" s="166">
        <f>SUM(L88:L101)</f>
        <v>180716</v>
      </c>
      <c r="M87" s="167"/>
      <c r="N87" s="166">
        <f>SUM(N88:N101)</f>
        <v>4279</v>
      </c>
      <c r="O87" s="166"/>
      <c r="P87" s="166">
        <f t="shared" ref="P87:P106" si="4">SUM(F87:O87)</f>
        <v>453188</v>
      </c>
      <c r="Q87" s="166"/>
      <c r="R87" s="151"/>
    </row>
    <row r="88" ht="24.0" customHeight="1">
      <c r="A88" s="162" t="s">
        <v>43</v>
      </c>
      <c r="B88" s="163">
        <v>45120.0</v>
      </c>
      <c r="C88" s="153"/>
      <c r="D88" s="168"/>
      <c r="E88" s="169" t="s">
        <v>20</v>
      </c>
      <c r="F88" s="170">
        <v>0.0</v>
      </c>
      <c r="G88" s="167"/>
      <c r="H88" s="170">
        <v>113853.0</v>
      </c>
      <c r="I88" s="167"/>
      <c r="J88" s="170">
        <v>2060.0</v>
      </c>
      <c r="K88" s="167"/>
      <c r="L88" s="170">
        <v>0.0</v>
      </c>
      <c r="M88" s="167"/>
      <c r="N88" s="170">
        <v>0.0</v>
      </c>
      <c r="O88" s="171"/>
      <c r="P88" s="170">
        <f t="shared" si="4"/>
        <v>115913</v>
      </c>
      <c r="Q88" s="194"/>
      <c r="R88" s="151"/>
    </row>
    <row r="89" ht="24.0" customHeight="1">
      <c r="A89" s="162" t="s">
        <v>44</v>
      </c>
      <c r="B89" s="172" t="s">
        <v>45</v>
      </c>
      <c r="C89" s="153"/>
      <c r="D89" s="168"/>
      <c r="E89" s="169" t="s">
        <v>53</v>
      </c>
      <c r="F89" s="170">
        <f>979+1080+7689+627</f>
        <v>10375</v>
      </c>
      <c r="G89" s="167"/>
      <c r="H89" s="170">
        <f>690+850+1951+396+837+600+1491+1594</f>
        <v>8409</v>
      </c>
      <c r="I89" s="167"/>
      <c r="J89" s="170">
        <f>2610+600+959+3379+400</f>
        <v>7948</v>
      </c>
      <c r="K89" s="167"/>
      <c r="L89" s="170">
        <f>3606+600+2671+299</f>
        <v>7176</v>
      </c>
      <c r="M89" s="167"/>
      <c r="N89" s="170">
        <f>600+683+425+1862+709</f>
        <v>4279</v>
      </c>
      <c r="O89" s="171"/>
      <c r="P89" s="170">
        <f t="shared" si="4"/>
        <v>38187</v>
      </c>
      <c r="Q89" s="194"/>
      <c r="R89" s="151"/>
    </row>
    <row r="90" ht="24.0" customHeight="1">
      <c r="A90" s="162" t="s">
        <v>46</v>
      </c>
      <c r="B90" s="172" t="s">
        <v>47</v>
      </c>
      <c r="C90" s="151"/>
      <c r="D90" s="168"/>
      <c r="E90" s="173" t="s">
        <v>22</v>
      </c>
      <c r="F90" s="170">
        <v>780.0</v>
      </c>
      <c r="G90" s="167"/>
      <c r="H90" s="170">
        <v>0.0</v>
      </c>
      <c r="I90" s="167"/>
      <c r="J90" s="170">
        <f>1199+1600</f>
        <v>2799</v>
      </c>
      <c r="K90" s="167"/>
      <c r="L90" s="170">
        <v>0.0</v>
      </c>
      <c r="M90" s="167"/>
      <c r="N90" s="170">
        <v>0.0</v>
      </c>
      <c r="O90" s="171"/>
      <c r="P90" s="170">
        <f t="shared" si="4"/>
        <v>3579</v>
      </c>
      <c r="Q90" s="194"/>
      <c r="R90" s="151"/>
    </row>
    <row r="91" ht="24.0" customHeight="1">
      <c r="A91" s="174" t="s">
        <v>48</v>
      </c>
      <c r="B91" s="175" t="s">
        <v>49</v>
      </c>
      <c r="C91" s="153"/>
      <c r="D91" s="168"/>
      <c r="E91" s="173" t="s">
        <v>23</v>
      </c>
      <c r="F91" s="170">
        <f>2380+2785</f>
        <v>5165</v>
      </c>
      <c r="G91" s="167"/>
      <c r="H91" s="170">
        <f>4240+2860+2680+3060</f>
        <v>12840</v>
      </c>
      <c r="I91" s="167"/>
      <c r="J91" s="170">
        <f>900+690+4520+3005+3465+2615</f>
        <v>15195</v>
      </c>
      <c r="K91" s="167"/>
      <c r="L91" s="170">
        <f>3600+3600+2795+3185+3000</f>
        <v>16180</v>
      </c>
      <c r="M91" s="167"/>
      <c r="N91" s="170">
        <v>0.0</v>
      </c>
      <c r="O91" s="171"/>
      <c r="P91" s="170">
        <f t="shared" si="4"/>
        <v>49380</v>
      </c>
      <c r="Q91" s="194"/>
      <c r="R91" s="151"/>
    </row>
    <row r="92" ht="24.0" customHeight="1">
      <c r="A92" s="176"/>
      <c r="B92" s="153"/>
      <c r="C92" s="153"/>
      <c r="D92" s="168"/>
      <c r="E92" s="169" t="s">
        <v>24</v>
      </c>
      <c r="F92" s="170">
        <v>0.0</v>
      </c>
      <c r="G92" s="167"/>
      <c r="H92" s="170">
        <f>1610+1480</f>
        <v>3090</v>
      </c>
      <c r="I92" s="167"/>
      <c r="J92" s="170">
        <f>1620</f>
        <v>1620</v>
      </c>
      <c r="K92" s="167"/>
      <c r="L92" s="170">
        <f>1700+1400</f>
        <v>3100</v>
      </c>
      <c r="M92" s="167"/>
      <c r="N92" s="170">
        <v>0.0</v>
      </c>
      <c r="O92" s="171"/>
      <c r="P92" s="170">
        <f t="shared" si="4"/>
        <v>7810</v>
      </c>
      <c r="Q92" s="194"/>
      <c r="R92" s="151"/>
    </row>
    <row r="93" ht="24.0" customHeight="1">
      <c r="A93" s="176"/>
      <c r="B93" s="153"/>
      <c r="C93" s="153"/>
      <c r="D93" s="168"/>
      <c r="E93" s="169" t="s">
        <v>25</v>
      </c>
      <c r="F93" s="170">
        <v>0.0</v>
      </c>
      <c r="G93" s="167"/>
      <c r="H93" s="170">
        <v>0.0</v>
      </c>
      <c r="I93" s="167"/>
      <c r="J93" s="170">
        <v>0.0</v>
      </c>
      <c r="K93" s="167"/>
      <c r="L93" s="170">
        <v>0.0</v>
      </c>
      <c r="M93" s="167"/>
      <c r="N93" s="170">
        <v>0.0</v>
      </c>
      <c r="O93" s="171"/>
      <c r="P93" s="170">
        <f t="shared" si="4"/>
        <v>0</v>
      </c>
      <c r="Q93" s="194"/>
      <c r="R93" s="151"/>
    </row>
    <row r="94" ht="24.0" customHeight="1">
      <c r="A94" s="186"/>
      <c r="B94" s="151"/>
      <c r="C94" s="151"/>
      <c r="D94" s="168"/>
      <c r="E94" s="169" t="s">
        <v>26</v>
      </c>
      <c r="F94" s="170">
        <v>0.0</v>
      </c>
      <c r="G94" s="167"/>
      <c r="H94" s="170">
        <v>4599.0</v>
      </c>
      <c r="I94" s="167"/>
      <c r="J94" s="170">
        <v>0.0</v>
      </c>
      <c r="K94" s="167"/>
      <c r="L94" s="170">
        <f>70000+5000</f>
        <v>75000</v>
      </c>
      <c r="M94" s="167"/>
      <c r="N94" s="170">
        <v>0.0</v>
      </c>
      <c r="O94" s="171"/>
      <c r="P94" s="170">
        <f t="shared" si="4"/>
        <v>79599</v>
      </c>
      <c r="Q94" s="194"/>
      <c r="R94" s="151"/>
    </row>
    <row r="95" ht="24.0" customHeight="1">
      <c r="A95" s="176"/>
      <c r="B95" s="153"/>
      <c r="C95" s="153"/>
      <c r="D95" s="168"/>
      <c r="E95" s="169" t="s">
        <v>56</v>
      </c>
      <c r="F95" s="170">
        <v>0.0</v>
      </c>
      <c r="G95" s="167"/>
      <c r="H95" s="170">
        <f>5092 + 5995</f>
        <v>11087</v>
      </c>
      <c r="I95" s="167"/>
      <c r="J95" s="170">
        <f>9590+11995+17034+2499</f>
        <v>41118</v>
      </c>
      <c r="K95" s="167"/>
      <c r="L95" s="170">
        <f>3390+1700+53990</f>
        <v>59080</v>
      </c>
      <c r="M95" s="167"/>
      <c r="N95" s="170">
        <v>0.0</v>
      </c>
      <c r="O95" s="171"/>
      <c r="P95" s="170">
        <f t="shared" si="4"/>
        <v>111285</v>
      </c>
      <c r="Q95" s="194"/>
      <c r="R95" s="151"/>
    </row>
    <row r="96" ht="24.0" customHeight="1">
      <c r="A96" s="176"/>
      <c r="B96" s="153"/>
      <c r="C96" s="153"/>
      <c r="D96" s="168"/>
      <c r="E96" s="169" t="s">
        <v>28</v>
      </c>
      <c r="F96" s="170">
        <v>0.0</v>
      </c>
      <c r="G96" s="167"/>
      <c r="H96" s="170">
        <v>0.0</v>
      </c>
      <c r="I96" s="167"/>
      <c r="J96" s="170">
        <v>0.0</v>
      </c>
      <c r="K96" s="167"/>
      <c r="L96" s="170">
        <v>0.0</v>
      </c>
      <c r="M96" s="167"/>
      <c r="N96" s="170">
        <v>0.0</v>
      </c>
      <c r="O96" s="171"/>
      <c r="P96" s="170">
        <f t="shared" si="4"/>
        <v>0</v>
      </c>
      <c r="Q96" s="194"/>
      <c r="R96" s="151"/>
    </row>
    <row r="97" ht="24.0" customHeight="1">
      <c r="A97" s="176"/>
      <c r="B97" s="153"/>
      <c r="C97" s="153"/>
      <c r="D97" s="168"/>
      <c r="E97" s="169" t="s">
        <v>29</v>
      </c>
      <c r="F97" s="170">
        <v>0.0</v>
      </c>
      <c r="G97" s="167"/>
      <c r="H97" s="170">
        <v>9500.0</v>
      </c>
      <c r="I97" s="167"/>
      <c r="J97" s="170">
        <v>1000.0</v>
      </c>
      <c r="K97" s="167"/>
      <c r="L97" s="170">
        <v>0.0</v>
      </c>
      <c r="M97" s="167"/>
      <c r="N97" s="170">
        <v>0.0</v>
      </c>
      <c r="O97" s="171"/>
      <c r="P97" s="170">
        <f t="shared" si="4"/>
        <v>10500</v>
      </c>
      <c r="Q97" s="194"/>
      <c r="R97" s="151"/>
    </row>
    <row r="98" ht="24.0" customHeight="1">
      <c r="A98" s="186"/>
      <c r="B98" s="151"/>
      <c r="C98" s="151"/>
      <c r="D98" s="168"/>
      <c r="E98" s="169" t="s">
        <v>30</v>
      </c>
      <c r="F98" s="170">
        <v>0.0</v>
      </c>
      <c r="G98" s="167"/>
      <c r="H98" s="170">
        <v>0.0</v>
      </c>
      <c r="I98" s="167"/>
      <c r="J98" s="170">
        <v>0.0</v>
      </c>
      <c r="K98" s="167"/>
      <c r="L98" s="170">
        <v>0.0</v>
      </c>
      <c r="M98" s="167"/>
      <c r="N98" s="170">
        <v>0.0</v>
      </c>
      <c r="O98" s="171"/>
      <c r="P98" s="170">
        <f t="shared" si="4"/>
        <v>0</v>
      </c>
      <c r="Q98" s="194"/>
      <c r="R98" s="151"/>
    </row>
    <row r="99" ht="24.0" customHeight="1">
      <c r="A99" s="176"/>
      <c r="B99" s="153"/>
      <c r="C99" s="153"/>
      <c r="D99" s="168"/>
      <c r="E99" s="169" t="s">
        <v>37</v>
      </c>
      <c r="F99" s="170">
        <v>0.0</v>
      </c>
      <c r="G99" s="167"/>
      <c r="H99" s="170">
        <v>0.0</v>
      </c>
      <c r="I99" s="167"/>
      <c r="J99" s="170">
        <v>0.0</v>
      </c>
      <c r="K99" s="167"/>
      <c r="L99" s="170">
        <f>3600+6600+(3000+1700)</f>
        <v>14900</v>
      </c>
      <c r="M99" s="167"/>
      <c r="N99" s="170">
        <v>0.0</v>
      </c>
      <c r="O99" s="171"/>
      <c r="P99" s="170">
        <f t="shared" si="4"/>
        <v>14900</v>
      </c>
      <c r="Q99" s="194"/>
      <c r="R99" s="151"/>
    </row>
    <row r="100" ht="24.0" customHeight="1">
      <c r="A100" s="176"/>
      <c r="B100" s="153"/>
      <c r="C100" s="153"/>
      <c r="D100" s="168"/>
      <c r="E100" s="169" t="s">
        <v>32</v>
      </c>
      <c r="F100" s="170">
        <f>7200+2676</f>
        <v>9876</v>
      </c>
      <c r="G100" s="167"/>
      <c r="H100" s="170">
        <v>0.0</v>
      </c>
      <c r="I100" s="167"/>
      <c r="J100" s="170">
        <v>0.0</v>
      </c>
      <c r="K100" s="167"/>
      <c r="L100" s="170">
        <v>0.0</v>
      </c>
      <c r="M100" s="167"/>
      <c r="N100" s="170">
        <v>0.0</v>
      </c>
      <c r="O100" s="171"/>
      <c r="P100" s="170">
        <f t="shared" si="4"/>
        <v>9876</v>
      </c>
      <c r="Q100" s="194"/>
      <c r="R100" s="151"/>
    </row>
    <row r="101" ht="24.0" customHeight="1">
      <c r="A101" s="176"/>
      <c r="B101" s="153"/>
      <c r="C101" s="153"/>
      <c r="D101" s="177"/>
      <c r="E101" s="178" t="s">
        <v>33</v>
      </c>
      <c r="F101" s="170">
        <v>6879.0</v>
      </c>
      <c r="G101" s="167"/>
      <c r="H101" s="170">
        <v>0.0</v>
      </c>
      <c r="I101" s="167"/>
      <c r="J101" s="170">
        <v>0.0</v>
      </c>
      <c r="K101" s="167"/>
      <c r="L101" s="170">
        <v>5280.0</v>
      </c>
      <c r="M101" s="167"/>
      <c r="N101" s="170">
        <v>0.0</v>
      </c>
      <c r="O101" s="180"/>
      <c r="P101" s="170">
        <f t="shared" si="4"/>
        <v>12159</v>
      </c>
      <c r="Q101" s="197"/>
      <c r="R101" s="151"/>
    </row>
    <row r="102" ht="24.0" customHeight="1">
      <c r="A102" s="176"/>
      <c r="B102" s="153"/>
      <c r="C102" s="153"/>
      <c r="D102" s="181"/>
      <c r="E102" s="182" t="s">
        <v>34</v>
      </c>
      <c r="F102" s="181">
        <f>SUM(F103:F106)</f>
        <v>702812</v>
      </c>
      <c r="G102" s="183"/>
      <c r="H102" s="181">
        <f>SUM(H103:H106)</f>
        <v>0</v>
      </c>
      <c r="I102" s="183"/>
      <c r="J102" s="181">
        <f>SUM(K103:K106)</f>
        <v>0</v>
      </c>
      <c r="K102" s="183"/>
      <c r="L102" s="181">
        <f>SUM(L103:L106)</f>
        <v>0</v>
      </c>
      <c r="M102" s="183"/>
      <c r="N102" s="181">
        <f>SUM(N103:N106)</f>
        <v>0</v>
      </c>
      <c r="O102" s="181"/>
      <c r="P102" s="166">
        <f t="shared" si="4"/>
        <v>702812</v>
      </c>
      <c r="Q102" s="181"/>
      <c r="R102" s="151"/>
    </row>
    <row r="103" ht="24.0" customHeight="1">
      <c r="A103" s="176"/>
      <c r="B103" s="153"/>
      <c r="C103" s="153"/>
      <c r="D103" s="184"/>
      <c r="E103" s="169" t="s">
        <v>35</v>
      </c>
      <c r="F103" s="170">
        <v>679000.0</v>
      </c>
      <c r="G103" s="167"/>
      <c r="H103" s="170">
        <v>0.0</v>
      </c>
      <c r="I103" s="167"/>
      <c r="J103" s="170">
        <v>0.0</v>
      </c>
      <c r="K103" s="167"/>
      <c r="L103" s="170">
        <v>0.0</v>
      </c>
      <c r="M103" s="167"/>
      <c r="N103" s="170">
        <v>0.0</v>
      </c>
      <c r="O103" s="171"/>
      <c r="P103" s="170">
        <f t="shared" si="4"/>
        <v>679000</v>
      </c>
      <c r="Q103" s="194"/>
      <c r="R103" s="151"/>
    </row>
    <row r="104" ht="24.0" customHeight="1">
      <c r="A104" s="176"/>
      <c r="B104" s="153"/>
      <c r="C104" s="153"/>
      <c r="D104" s="184"/>
      <c r="E104" s="169" t="s">
        <v>36</v>
      </c>
      <c r="F104" s="170">
        <v>23812.0</v>
      </c>
      <c r="G104" s="167"/>
      <c r="H104" s="170"/>
      <c r="I104" s="170">
        <v>0.0</v>
      </c>
      <c r="J104" s="170"/>
      <c r="K104" s="170">
        <v>0.0</v>
      </c>
      <c r="L104" s="170"/>
      <c r="M104" s="170">
        <v>0.0</v>
      </c>
      <c r="N104" s="170">
        <v>0.0</v>
      </c>
      <c r="O104" s="171"/>
      <c r="P104" s="170">
        <f t="shared" si="4"/>
        <v>23812</v>
      </c>
      <c r="Q104" s="194"/>
      <c r="R104" s="151"/>
    </row>
    <row r="105" ht="24.0" customHeight="1">
      <c r="A105" s="186"/>
      <c r="B105" s="151"/>
      <c r="C105" s="151"/>
      <c r="D105" s="184"/>
      <c r="E105" s="169" t="s">
        <v>37</v>
      </c>
      <c r="F105" s="170">
        <v>0.0</v>
      </c>
      <c r="G105" s="167"/>
      <c r="H105" s="170">
        <v>0.0</v>
      </c>
      <c r="I105" s="167"/>
      <c r="J105" s="170">
        <v>0.0</v>
      </c>
      <c r="K105" s="167"/>
      <c r="L105" s="170">
        <v>0.0</v>
      </c>
      <c r="M105" s="167"/>
      <c r="N105" s="170">
        <v>0.0</v>
      </c>
      <c r="O105" s="171"/>
      <c r="P105" s="170">
        <f t="shared" si="4"/>
        <v>0</v>
      </c>
      <c r="Q105" s="194"/>
      <c r="R105" s="151"/>
    </row>
    <row r="106" ht="24.0" customHeight="1">
      <c r="A106" s="187"/>
      <c r="B106" s="188"/>
      <c r="C106" s="188"/>
      <c r="D106" s="184"/>
      <c r="E106" s="169" t="s">
        <v>33</v>
      </c>
      <c r="F106" s="170">
        <v>0.0</v>
      </c>
      <c r="G106" s="167"/>
      <c r="H106" s="170">
        <v>0.0</v>
      </c>
      <c r="I106" s="167"/>
      <c r="J106" s="170">
        <v>0.0</v>
      </c>
      <c r="K106" s="167"/>
      <c r="L106" s="170">
        <v>0.0</v>
      </c>
      <c r="M106" s="167"/>
      <c r="N106" s="170">
        <v>0.0</v>
      </c>
      <c r="O106" s="171"/>
      <c r="P106" s="170">
        <f t="shared" si="4"/>
        <v>0</v>
      </c>
      <c r="Q106" s="194"/>
      <c r="R106" s="189"/>
    </row>
    <row r="107" ht="48.0" customHeight="1">
      <c r="A107" s="153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</row>
    <row r="108" ht="24.0" customHeight="1">
      <c r="A108" s="176"/>
      <c r="B108" s="153"/>
      <c r="C108" s="153"/>
      <c r="D108" s="131"/>
      <c r="E108" s="131"/>
      <c r="F108" s="131"/>
      <c r="G108" s="132"/>
      <c r="H108" s="132"/>
      <c r="I108" s="133">
        <f>(I109/D109)</f>
        <v>0.4955963713</v>
      </c>
      <c r="K108" s="132"/>
      <c r="L108" s="135"/>
      <c r="M108" s="136">
        <f>(1 - I108)</f>
        <v>0.5044036287</v>
      </c>
      <c r="N108" s="137"/>
      <c r="O108" s="137"/>
      <c r="P108" s="132"/>
      <c r="Q108" s="132"/>
      <c r="R108" s="151"/>
    </row>
    <row r="109" ht="24.0" customHeight="1">
      <c r="A109" s="176"/>
      <c r="B109" s="153"/>
      <c r="C109" s="153"/>
      <c r="D109" s="140">
        <f>P129</f>
        <v>1041809</v>
      </c>
      <c r="E109" s="141"/>
      <c r="F109" s="141"/>
      <c r="G109" s="132"/>
      <c r="I109" s="134">
        <f>P114</f>
        <v>516316.76</v>
      </c>
      <c r="K109" s="132"/>
      <c r="L109" s="135">
        <f>D109-I109</f>
        <v>525492.24</v>
      </c>
      <c r="N109" s="137">
        <v>0.0</v>
      </c>
      <c r="P109" s="132"/>
      <c r="Q109" s="132"/>
      <c r="R109" s="190"/>
    </row>
    <row r="110" ht="24.0" customHeight="1">
      <c r="A110" s="176"/>
      <c r="B110" s="153"/>
      <c r="C110" s="153"/>
      <c r="D110" s="191" t="s">
        <v>1</v>
      </c>
      <c r="E110" s="18"/>
      <c r="F110" s="18"/>
      <c r="G110" s="18"/>
      <c r="H110" s="18"/>
      <c r="I110" s="191" t="s">
        <v>2</v>
      </c>
      <c r="J110" s="18"/>
      <c r="K110" s="18"/>
      <c r="L110" s="191" t="s">
        <v>3</v>
      </c>
      <c r="M110" s="18"/>
      <c r="N110" s="192" t="s">
        <v>14</v>
      </c>
      <c r="O110" s="18"/>
      <c r="P110" s="18"/>
      <c r="Q110" s="18"/>
      <c r="R110" s="151"/>
    </row>
    <row r="111" ht="24.0" customHeight="1">
      <c r="A111" s="151"/>
      <c r="B111" s="151"/>
      <c r="C111" s="151"/>
      <c r="D111" s="151"/>
      <c r="E111" s="151"/>
      <c r="F111" s="15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</row>
    <row r="112" ht="24.0" customHeight="1">
      <c r="A112" s="152"/>
      <c r="B112" s="152"/>
      <c r="C112" s="151"/>
      <c r="D112" s="193" t="s">
        <v>54</v>
      </c>
      <c r="E112" s="139"/>
      <c r="F112" s="139"/>
      <c r="G112" s="139"/>
      <c r="H112" s="139"/>
      <c r="I112" s="139"/>
      <c r="J112" s="139"/>
      <c r="K112" s="139"/>
      <c r="L112" s="139"/>
      <c r="M112" s="139"/>
      <c r="N112" s="139"/>
      <c r="O112" s="139"/>
      <c r="P112" s="139"/>
      <c r="Q112" s="139"/>
      <c r="R112" s="151"/>
    </row>
    <row r="113" ht="24.0" customHeight="1">
      <c r="A113" s="155" t="s">
        <v>40</v>
      </c>
      <c r="B113" s="156" t="s">
        <v>41</v>
      </c>
      <c r="C113" s="151"/>
      <c r="D113" s="157"/>
      <c r="E113" s="158" t="s">
        <v>6</v>
      </c>
      <c r="F113" s="159" t="s">
        <v>15</v>
      </c>
      <c r="G113" s="160"/>
      <c r="H113" s="159" t="s">
        <v>16</v>
      </c>
      <c r="I113" s="160"/>
      <c r="J113" s="159" t="s">
        <v>17</v>
      </c>
      <c r="K113" s="160"/>
      <c r="L113" s="159" t="s">
        <v>18</v>
      </c>
      <c r="M113" s="160"/>
      <c r="N113" s="159" t="s">
        <v>19</v>
      </c>
      <c r="O113" s="157"/>
      <c r="P113" s="159" t="s">
        <v>12</v>
      </c>
      <c r="Q113" s="157"/>
      <c r="R113" s="151"/>
    </row>
    <row r="114" ht="24.0" customHeight="1">
      <c r="A114" s="162" t="s">
        <v>42</v>
      </c>
      <c r="B114" s="163">
        <v>44932.0</v>
      </c>
      <c r="C114" s="153"/>
      <c r="D114" s="164"/>
      <c r="E114" s="165" t="s">
        <v>13</v>
      </c>
      <c r="F114" s="166">
        <f>SUM(F115:F128)</f>
        <v>55201</v>
      </c>
      <c r="G114" s="167"/>
      <c r="H114" s="166">
        <f>SUM(H115:H128)</f>
        <v>162232</v>
      </c>
      <c r="I114" s="167"/>
      <c r="J114" s="166">
        <f>SUM(J115:J128)</f>
        <v>44151</v>
      </c>
      <c r="K114" s="167"/>
      <c r="L114" s="166">
        <f>SUM(L115:L128)</f>
        <v>223992.76</v>
      </c>
      <c r="M114" s="167"/>
      <c r="N114" s="166">
        <f>SUM(N115:N128)</f>
        <v>30740</v>
      </c>
      <c r="O114" s="166"/>
      <c r="P114" s="166">
        <f t="shared" ref="P114:P133" si="5">SUM(F114:O114)</f>
        <v>516316.76</v>
      </c>
      <c r="Q114" s="166"/>
      <c r="R114" s="151"/>
    </row>
    <row r="115" ht="24.0" customHeight="1">
      <c r="A115" s="162" t="s">
        <v>43</v>
      </c>
      <c r="B115" s="163">
        <v>45120.0</v>
      </c>
      <c r="C115" s="153"/>
      <c r="D115" s="168"/>
      <c r="E115" s="169" t="s">
        <v>20</v>
      </c>
      <c r="F115" s="170">
        <v>8719.0</v>
      </c>
      <c r="G115" s="167"/>
      <c r="H115" s="170">
        <f>5521+118421</f>
        <v>123942</v>
      </c>
      <c r="I115" s="167"/>
      <c r="J115" s="170">
        <v>2166.0</v>
      </c>
      <c r="K115" s="167"/>
      <c r="L115" s="170">
        <v>0.0</v>
      </c>
      <c r="M115" s="167"/>
      <c r="N115" s="170">
        <v>7189.0</v>
      </c>
      <c r="O115" s="171"/>
      <c r="P115" s="170">
        <f t="shared" si="5"/>
        <v>142016</v>
      </c>
      <c r="Q115" s="194"/>
      <c r="R115" s="151"/>
    </row>
    <row r="116" ht="24.0" customHeight="1">
      <c r="A116" s="162" t="s">
        <v>44</v>
      </c>
      <c r="B116" s="172" t="s">
        <v>45</v>
      </c>
      <c r="C116" s="153"/>
      <c r="D116" s="168"/>
      <c r="E116" s="169" t="s">
        <v>53</v>
      </c>
      <c r="F116" s="170">
        <f>5923+5661+620+1585+580+2357</f>
        <v>16726</v>
      </c>
      <c r="G116" s="167"/>
      <c r="H116" s="170">
        <f>600+531+1637+600+4340+695+590+3255+948</f>
        <v>13196</v>
      </c>
      <c r="I116" s="167"/>
      <c r="J116" s="170">
        <f>530+2572+737+1575+7421+500+1134+2580</f>
        <v>17049</v>
      </c>
      <c r="K116" s="167"/>
      <c r="L116" s="170">
        <v>712.76</v>
      </c>
      <c r="M116" s="167"/>
      <c r="N116" s="170">
        <f>600+6153+1735+5874</f>
        <v>14362</v>
      </c>
      <c r="O116" s="171"/>
      <c r="P116" s="170">
        <f t="shared" si="5"/>
        <v>62045.76</v>
      </c>
      <c r="Q116" s="194"/>
      <c r="R116" s="151"/>
    </row>
    <row r="117" ht="24.0" customHeight="1">
      <c r="A117" s="162" t="s">
        <v>46</v>
      </c>
      <c r="B117" s="172" t="s">
        <v>47</v>
      </c>
      <c r="C117" s="151"/>
      <c r="D117" s="168"/>
      <c r="E117" s="173" t="s">
        <v>22</v>
      </c>
      <c r="F117" s="170">
        <f>899+699+5299+2500</f>
        <v>9397</v>
      </c>
      <c r="G117" s="167"/>
      <c r="H117" s="170">
        <f>4990+600</f>
        <v>5590</v>
      </c>
      <c r="I117" s="167"/>
      <c r="J117" s="170">
        <f>1098+4398</f>
        <v>5496</v>
      </c>
      <c r="K117" s="167"/>
      <c r="L117" s="170">
        <v>0.0</v>
      </c>
      <c r="M117" s="167"/>
      <c r="N117" s="170">
        <v>0.0</v>
      </c>
      <c r="O117" s="171"/>
      <c r="P117" s="170">
        <f t="shared" si="5"/>
        <v>20483</v>
      </c>
      <c r="Q117" s="194"/>
      <c r="R117" s="151"/>
    </row>
    <row r="118" ht="24.0" customHeight="1">
      <c r="A118" s="174" t="s">
        <v>48</v>
      </c>
      <c r="B118" s="175" t="s">
        <v>49</v>
      </c>
      <c r="C118" s="153"/>
      <c r="D118" s="168"/>
      <c r="E118" s="173" t="s">
        <v>23</v>
      </c>
      <c r="F118" s="170">
        <f>2700+700</f>
        <v>3400</v>
      </c>
      <c r="G118" s="167"/>
      <c r="H118" s="170">
        <f>925+600</f>
        <v>1525</v>
      </c>
      <c r="I118" s="167"/>
      <c r="J118" s="170">
        <f>1200</f>
        <v>1200</v>
      </c>
      <c r="K118" s="167"/>
      <c r="L118" s="170">
        <v>0.0</v>
      </c>
      <c r="M118" s="167"/>
      <c r="N118" s="170">
        <f>(1100+500)+7589</f>
        <v>9189</v>
      </c>
      <c r="O118" s="171"/>
      <c r="P118" s="170">
        <f t="shared" si="5"/>
        <v>15314</v>
      </c>
      <c r="Q118" s="194"/>
      <c r="R118" s="151"/>
    </row>
    <row r="119" ht="24.0" customHeight="1">
      <c r="A119" s="176"/>
      <c r="B119" s="153"/>
      <c r="C119" s="153"/>
      <c r="D119" s="168"/>
      <c r="E119" s="169" t="s">
        <v>24</v>
      </c>
      <c r="F119" s="170">
        <f>1980</f>
        <v>1980</v>
      </c>
      <c r="G119" s="167"/>
      <c r="H119" s="170">
        <f>849+(1090+1045)</f>
        <v>2984</v>
      </c>
      <c r="I119" s="167"/>
      <c r="J119" s="170">
        <v>1580.0</v>
      </c>
      <c r="K119" s="167"/>
      <c r="L119" s="170">
        <v>0.0</v>
      </c>
      <c r="M119" s="167"/>
      <c r="N119" s="170">
        <v>0.0</v>
      </c>
      <c r="O119" s="171"/>
      <c r="P119" s="170">
        <f t="shared" si="5"/>
        <v>6544</v>
      </c>
      <c r="Q119" s="194"/>
      <c r="R119" s="151"/>
    </row>
    <row r="120" ht="24.0" customHeight="1">
      <c r="A120" s="176"/>
      <c r="B120" s="153"/>
      <c r="C120" s="153"/>
      <c r="D120" s="168"/>
      <c r="E120" s="169" t="s">
        <v>25</v>
      </c>
      <c r="F120" s="170">
        <v>0.0</v>
      </c>
      <c r="G120" s="167"/>
      <c r="H120" s="170">
        <v>0.0</v>
      </c>
      <c r="I120" s="167"/>
      <c r="J120" s="170">
        <v>0.0</v>
      </c>
      <c r="K120" s="167"/>
      <c r="L120" s="170">
        <v>0.0</v>
      </c>
      <c r="M120" s="167"/>
      <c r="N120" s="170">
        <v>0.0</v>
      </c>
      <c r="O120" s="171"/>
      <c r="P120" s="170">
        <f t="shared" si="5"/>
        <v>0</v>
      </c>
      <c r="Q120" s="194"/>
      <c r="R120" s="151"/>
    </row>
    <row r="121" ht="24.0" customHeight="1">
      <c r="A121" s="186"/>
      <c r="B121" s="151"/>
      <c r="C121" s="151"/>
      <c r="D121" s="168"/>
      <c r="E121" s="169" t="s">
        <v>26</v>
      </c>
      <c r="F121" s="170">
        <f>2179+5000</f>
        <v>7179</v>
      </c>
      <c r="G121" s="167"/>
      <c r="H121" s="170">
        <v>0.0</v>
      </c>
      <c r="I121" s="167"/>
      <c r="J121" s="170">
        <v>5000.0</v>
      </c>
      <c r="K121" s="167"/>
      <c r="L121" s="170">
        <v>0.0</v>
      </c>
      <c r="M121" s="167"/>
      <c r="N121" s="170">
        <v>0.0</v>
      </c>
      <c r="O121" s="171"/>
      <c r="P121" s="170">
        <f t="shared" si="5"/>
        <v>12179</v>
      </c>
      <c r="Q121" s="194"/>
      <c r="R121" s="151"/>
    </row>
    <row r="122" ht="24.0" customHeight="1">
      <c r="A122" s="176"/>
      <c r="B122" s="153"/>
      <c r="C122" s="153"/>
      <c r="D122" s="168"/>
      <c r="E122" s="169" t="s">
        <v>56</v>
      </c>
      <c r="F122" s="170">
        <f>5200</f>
        <v>5200</v>
      </c>
      <c r="G122" s="167"/>
      <c r="H122" s="170">
        <v>2995.0</v>
      </c>
      <c r="I122" s="167"/>
      <c r="J122" s="170">
        <f>6800+1290</f>
        <v>8090</v>
      </c>
      <c r="K122" s="167"/>
      <c r="L122" s="170">
        <v>0.0</v>
      </c>
      <c r="M122" s="167"/>
      <c r="N122" s="170">
        <v>0.0</v>
      </c>
      <c r="O122" s="171"/>
      <c r="P122" s="170">
        <f t="shared" si="5"/>
        <v>16285</v>
      </c>
      <c r="Q122" s="194"/>
      <c r="R122" s="151"/>
    </row>
    <row r="123" ht="24.0" customHeight="1">
      <c r="A123" s="176"/>
      <c r="B123" s="153"/>
      <c r="C123" s="153"/>
      <c r="D123" s="168"/>
      <c r="E123" s="169" t="s">
        <v>28</v>
      </c>
      <c r="F123" s="170">
        <v>0.0</v>
      </c>
      <c r="G123" s="167"/>
      <c r="H123" s="170">
        <v>0.0</v>
      </c>
      <c r="I123" s="167"/>
      <c r="J123" s="170">
        <v>0.0</v>
      </c>
      <c r="K123" s="167"/>
      <c r="L123" s="170">
        <f>200000</f>
        <v>200000</v>
      </c>
      <c r="M123" s="167"/>
      <c r="N123" s="170">
        <v>0.0</v>
      </c>
      <c r="O123" s="171"/>
      <c r="P123" s="170">
        <f t="shared" si="5"/>
        <v>200000</v>
      </c>
      <c r="Q123" s="194"/>
      <c r="R123" s="151"/>
    </row>
    <row r="124" ht="24.0" customHeight="1">
      <c r="A124" s="176"/>
      <c r="B124" s="153"/>
      <c r="C124" s="153"/>
      <c r="D124" s="168"/>
      <c r="E124" s="169" t="s">
        <v>29</v>
      </c>
      <c r="F124" s="170">
        <v>0.0</v>
      </c>
      <c r="G124" s="167"/>
      <c r="H124" s="170">
        <v>9500.0</v>
      </c>
      <c r="I124" s="167"/>
      <c r="J124" s="170">
        <f>1000+2570</f>
        <v>3570</v>
      </c>
      <c r="K124" s="167"/>
      <c r="L124" s="170">
        <v>0.0</v>
      </c>
      <c r="M124" s="167"/>
      <c r="N124" s="170">
        <v>0.0</v>
      </c>
      <c r="O124" s="171"/>
      <c r="P124" s="170">
        <f t="shared" si="5"/>
        <v>13070</v>
      </c>
      <c r="Q124" s="194"/>
      <c r="R124" s="151"/>
    </row>
    <row r="125" ht="24.0" customHeight="1">
      <c r="A125" s="186"/>
      <c r="B125" s="151"/>
      <c r="C125" s="151"/>
      <c r="D125" s="168"/>
      <c r="E125" s="169" t="s">
        <v>30</v>
      </c>
      <c r="F125" s="170">
        <v>0.0</v>
      </c>
      <c r="G125" s="167"/>
      <c r="H125" s="170">
        <v>0.0</v>
      </c>
      <c r="I125" s="167"/>
      <c r="J125" s="170">
        <v>0.0</v>
      </c>
      <c r="K125" s="167"/>
      <c r="L125" s="170">
        <v>0.0</v>
      </c>
      <c r="M125" s="167"/>
      <c r="N125" s="170">
        <v>0.0</v>
      </c>
      <c r="O125" s="171"/>
      <c r="P125" s="170">
        <f t="shared" si="5"/>
        <v>0</v>
      </c>
      <c r="Q125" s="194"/>
      <c r="R125" s="151"/>
    </row>
    <row r="126" ht="24.0" customHeight="1">
      <c r="A126" s="176"/>
      <c r="B126" s="153"/>
      <c r="C126" s="153"/>
      <c r="D126" s="168"/>
      <c r="E126" s="169" t="s">
        <v>37</v>
      </c>
      <c r="F126" s="170">
        <v>0.0</v>
      </c>
      <c r="G126" s="167"/>
      <c r="H126" s="170">
        <v>0.0</v>
      </c>
      <c r="I126" s="167"/>
      <c r="J126" s="170">
        <v>0.0</v>
      </c>
      <c r="K126" s="167"/>
      <c r="L126" s="170">
        <v>0.0</v>
      </c>
      <c r="M126" s="167"/>
      <c r="N126" s="170">
        <v>0.0</v>
      </c>
      <c r="O126" s="171"/>
      <c r="P126" s="170">
        <f t="shared" si="5"/>
        <v>0</v>
      </c>
      <c r="Q126" s="194"/>
      <c r="R126" s="151"/>
    </row>
    <row r="127" ht="24.0" customHeight="1">
      <c r="A127" s="176"/>
      <c r="B127" s="153"/>
      <c r="C127" s="153"/>
      <c r="D127" s="168"/>
      <c r="E127" s="169" t="s">
        <v>32</v>
      </c>
      <c r="F127" s="170">
        <v>0.0</v>
      </c>
      <c r="G127" s="167"/>
      <c r="H127" s="170">
        <v>2500.0</v>
      </c>
      <c r="I127" s="167"/>
      <c r="J127" s="170">
        <v>0.0</v>
      </c>
      <c r="K127" s="167"/>
      <c r="L127" s="170">
        <v>0.0</v>
      </c>
      <c r="M127" s="167"/>
      <c r="N127" s="170">
        <v>0.0</v>
      </c>
      <c r="O127" s="171"/>
      <c r="P127" s="170">
        <f t="shared" si="5"/>
        <v>2500</v>
      </c>
      <c r="Q127" s="194"/>
      <c r="R127" s="151"/>
    </row>
    <row r="128" ht="24.0" customHeight="1">
      <c r="A128" s="176"/>
      <c r="B128" s="153"/>
      <c r="C128" s="153"/>
      <c r="D128" s="177"/>
      <c r="E128" s="178" t="s">
        <v>33</v>
      </c>
      <c r="F128" s="170">
        <f>(2200+3000+2400-5000)</f>
        <v>2600</v>
      </c>
      <c r="G128" s="167"/>
      <c r="H128" s="170">
        <v>0.0</v>
      </c>
      <c r="I128" s="167"/>
      <c r="J128" s="170">
        <v>0.0</v>
      </c>
      <c r="K128" s="167"/>
      <c r="L128" s="170">
        <v>23280.0</v>
      </c>
      <c r="M128" s="167"/>
      <c r="N128" s="170">
        <v>0.0</v>
      </c>
      <c r="O128" s="180"/>
      <c r="P128" s="170">
        <f t="shared" si="5"/>
        <v>25880</v>
      </c>
      <c r="Q128" s="197"/>
      <c r="R128" s="151"/>
    </row>
    <row r="129" ht="24.0" customHeight="1">
      <c r="A129" s="176"/>
      <c r="B129" s="153"/>
      <c r="C129" s="153"/>
      <c r="D129" s="181"/>
      <c r="E129" s="182" t="s">
        <v>34</v>
      </c>
      <c r="F129" s="181">
        <f>SUM(F130:F133)</f>
        <v>699199</v>
      </c>
      <c r="G129" s="183"/>
      <c r="H129" s="181">
        <f>SUM(H130:H133)</f>
        <v>52610</v>
      </c>
      <c r="I129" s="183"/>
      <c r="J129" s="181">
        <f>SUM(J130:J133)</f>
        <v>290000</v>
      </c>
      <c r="K129" s="183"/>
      <c r="L129" s="181">
        <f>SUM(L130:L133)</f>
        <v>0</v>
      </c>
      <c r="M129" s="183"/>
      <c r="N129" s="181">
        <f>SUM(N130:N133)</f>
        <v>0</v>
      </c>
      <c r="O129" s="181"/>
      <c r="P129" s="166">
        <f t="shared" si="5"/>
        <v>1041809</v>
      </c>
      <c r="Q129" s="181"/>
      <c r="R129" s="151"/>
    </row>
    <row r="130" ht="24.0" customHeight="1">
      <c r="A130" s="176"/>
      <c r="B130" s="153"/>
      <c r="C130" s="153"/>
      <c r="D130" s="184"/>
      <c r="E130" s="169" t="s">
        <v>35</v>
      </c>
      <c r="F130" s="170">
        <v>675387.0</v>
      </c>
      <c r="G130" s="167"/>
      <c r="H130" s="170">
        <v>0.0</v>
      </c>
      <c r="I130" s="167"/>
      <c r="J130" s="170">
        <v>0.0</v>
      </c>
      <c r="K130" s="167"/>
      <c r="L130" s="170">
        <v>0.0</v>
      </c>
      <c r="M130" s="167"/>
      <c r="N130" s="170">
        <v>0.0</v>
      </c>
      <c r="O130" s="171"/>
      <c r="P130" s="170">
        <f t="shared" si="5"/>
        <v>675387</v>
      </c>
      <c r="Q130" s="194"/>
      <c r="R130" s="151"/>
    </row>
    <row r="131" ht="24.0" customHeight="1">
      <c r="A131" s="176"/>
      <c r="B131" s="153"/>
      <c r="C131" s="153"/>
      <c r="D131" s="184"/>
      <c r="E131" s="169" t="s">
        <v>36</v>
      </c>
      <c r="F131" s="170">
        <v>23812.0</v>
      </c>
      <c r="G131" s="167"/>
      <c r="H131" s="170"/>
      <c r="I131" s="170">
        <v>0.0</v>
      </c>
      <c r="J131" s="170"/>
      <c r="K131" s="170">
        <v>0.0</v>
      </c>
      <c r="L131" s="170"/>
      <c r="M131" s="170">
        <v>0.0</v>
      </c>
      <c r="N131" s="170">
        <v>0.0</v>
      </c>
      <c r="O131" s="171"/>
      <c r="P131" s="170">
        <f t="shared" si="5"/>
        <v>23812</v>
      </c>
      <c r="Q131" s="194"/>
      <c r="R131" s="151"/>
    </row>
    <row r="132" ht="24.0" customHeight="1">
      <c r="A132" s="186"/>
      <c r="B132" s="151"/>
      <c r="C132" s="151"/>
      <c r="D132" s="184"/>
      <c r="E132" s="169" t="s">
        <v>37</v>
      </c>
      <c r="F132" s="170">
        <v>0.0</v>
      </c>
      <c r="G132" s="167"/>
      <c r="H132" s="170">
        <v>0.0</v>
      </c>
      <c r="I132" s="167"/>
      <c r="J132" s="170">
        <v>0.0</v>
      </c>
      <c r="K132" s="167"/>
      <c r="L132" s="170">
        <v>0.0</v>
      </c>
      <c r="M132" s="167"/>
      <c r="N132" s="170">
        <v>0.0</v>
      </c>
      <c r="O132" s="171"/>
      <c r="P132" s="170">
        <f t="shared" si="5"/>
        <v>0</v>
      </c>
      <c r="Q132" s="194"/>
      <c r="R132" s="151"/>
    </row>
    <row r="133" ht="24.0" customHeight="1">
      <c r="A133" s="187"/>
      <c r="B133" s="188"/>
      <c r="C133" s="188"/>
      <c r="D133" s="184"/>
      <c r="E133" s="169" t="s">
        <v>33</v>
      </c>
      <c r="F133" s="170">
        <v>0.0</v>
      </c>
      <c r="G133" s="167"/>
      <c r="H133" s="170">
        <v>52610.0</v>
      </c>
      <c r="I133" s="167"/>
      <c r="J133" s="170">
        <v>290000.0</v>
      </c>
      <c r="K133" s="167"/>
      <c r="L133" s="170">
        <v>0.0</v>
      </c>
      <c r="M133" s="167"/>
      <c r="N133" s="170">
        <v>0.0</v>
      </c>
      <c r="O133" s="171"/>
      <c r="P133" s="170">
        <f t="shared" si="5"/>
        <v>342610</v>
      </c>
      <c r="Q133" s="194"/>
      <c r="R133" s="189"/>
    </row>
    <row r="134" ht="24.0" customHeight="1">
      <c r="A134" s="153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</row>
    <row r="135" ht="24.0" customHeight="1">
      <c r="A135" s="153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</row>
    <row r="136" ht="24.0" customHeight="1">
      <c r="A136" s="176"/>
      <c r="B136" s="153"/>
      <c r="C136" s="153"/>
      <c r="D136" s="131"/>
      <c r="E136" s="131"/>
      <c r="F136" s="131"/>
      <c r="G136" s="132"/>
      <c r="H136" s="132"/>
      <c r="I136" s="133">
        <f>(I137/D137)</f>
        <v>0.6541136656</v>
      </c>
      <c r="K136" s="132"/>
      <c r="L136" s="135"/>
      <c r="M136" s="136">
        <f>(1 - I136)</f>
        <v>0.3458863344</v>
      </c>
      <c r="N136" s="137"/>
      <c r="O136" s="137"/>
      <c r="P136" s="132"/>
      <c r="Q136" s="132"/>
      <c r="R136" s="151"/>
    </row>
    <row r="137" ht="24.0" customHeight="1">
      <c r="A137" s="176"/>
      <c r="B137" s="153"/>
      <c r="C137" s="153"/>
      <c r="D137" s="140">
        <f>P157</f>
        <v>710945</v>
      </c>
      <c r="E137" s="141"/>
      <c r="F137" s="141"/>
      <c r="G137" s="132"/>
      <c r="I137" s="134">
        <f>P142</f>
        <v>465038.84</v>
      </c>
      <c r="K137" s="132"/>
      <c r="L137" s="135">
        <f>D137-I137</f>
        <v>245906.16</v>
      </c>
      <c r="N137" s="137">
        <v>0.0</v>
      </c>
      <c r="P137" s="132"/>
      <c r="Q137" s="132"/>
      <c r="R137" s="190"/>
    </row>
    <row r="138" ht="24.0" customHeight="1">
      <c r="A138" s="176"/>
      <c r="B138" s="153"/>
      <c r="C138" s="153"/>
      <c r="D138" s="191" t="s">
        <v>1</v>
      </c>
      <c r="E138" s="18"/>
      <c r="F138" s="18"/>
      <c r="G138" s="18"/>
      <c r="H138" s="18"/>
      <c r="I138" s="191" t="s">
        <v>2</v>
      </c>
      <c r="J138" s="18"/>
      <c r="K138" s="18"/>
      <c r="L138" s="191" t="s">
        <v>3</v>
      </c>
      <c r="M138" s="18"/>
      <c r="N138" s="192" t="s">
        <v>14</v>
      </c>
      <c r="O138" s="18"/>
      <c r="P138" s="18"/>
      <c r="Q138" s="18"/>
      <c r="R138" s="151"/>
    </row>
    <row r="139" ht="24.0" customHeight="1">
      <c r="A139" s="151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</row>
    <row r="140" ht="24.0" customHeight="1">
      <c r="A140" s="152"/>
      <c r="B140" s="152"/>
      <c r="C140" s="151"/>
      <c r="D140" s="193" t="s">
        <v>55</v>
      </c>
      <c r="E140" s="139"/>
      <c r="F140" s="139"/>
      <c r="G140" s="139"/>
      <c r="H140" s="139"/>
      <c r="I140" s="139"/>
      <c r="J140" s="139"/>
      <c r="K140" s="139"/>
      <c r="L140" s="139"/>
      <c r="M140" s="139"/>
      <c r="N140" s="139"/>
      <c r="O140" s="139"/>
      <c r="P140" s="139"/>
      <c r="Q140" s="139"/>
      <c r="R140" s="151"/>
    </row>
    <row r="141" ht="24.0" customHeight="1">
      <c r="A141" s="155" t="s">
        <v>40</v>
      </c>
      <c r="B141" s="156" t="s">
        <v>41</v>
      </c>
      <c r="C141" s="151"/>
      <c r="D141" s="157"/>
      <c r="E141" s="158" t="s">
        <v>6</v>
      </c>
      <c r="F141" s="159" t="s">
        <v>15</v>
      </c>
      <c r="G141" s="160"/>
      <c r="H141" s="159" t="s">
        <v>16</v>
      </c>
      <c r="I141" s="160"/>
      <c r="J141" s="159" t="s">
        <v>17</v>
      </c>
      <c r="K141" s="160"/>
      <c r="L141" s="159" t="s">
        <v>18</v>
      </c>
      <c r="M141" s="160"/>
      <c r="N141" s="159" t="s">
        <v>19</v>
      </c>
      <c r="O141" s="157"/>
      <c r="P141" s="159" t="s">
        <v>12</v>
      </c>
      <c r="Q141" s="157"/>
      <c r="R141" s="151"/>
    </row>
    <row r="142" ht="24.0" customHeight="1">
      <c r="A142" s="162" t="s">
        <v>42</v>
      </c>
      <c r="B142" s="163">
        <v>44932.0</v>
      </c>
      <c r="C142" s="153"/>
      <c r="D142" s="164"/>
      <c r="E142" s="165" t="s">
        <v>13</v>
      </c>
      <c r="F142" s="166">
        <f>SUM(F143:F156)</f>
        <v>170822</v>
      </c>
      <c r="G142" s="167"/>
      <c r="H142" s="166">
        <f>SUM(H143:H156)</f>
        <v>50503</v>
      </c>
      <c r="I142" s="167"/>
      <c r="J142" s="166">
        <f>SUM(J143:J156)</f>
        <v>195906</v>
      </c>
      <c r="K142" s="167"/>
      <c r="L142" s="166">
        <f>SUM(L143:L156)</f>
        <v>41556.84</v>
      </c>
      <c r="M142" s="167"/>
      <c r="N142" s="166">
        <f>SUM(N143:N156)</f>
        <v>6251</v>
      </c>
      <c r="O142" s="166"/>
      <c r="P142" s="166">
        <f t="shared" ref="P142:P161" si="6">SUM(F142:O142)</f>
        <v>465038.84</v>
      </c>
      <c r="Q142" s="166"/>
      <c r="R142" s="151"/>
    </row>
    <row r="143" ht="24.0" customHeight="1">
      <c r="A143" s="162" t="s">
        <v>43</v>
      </c>
      <c r="B143" s="163">
        <v>45120.0</v>
      </c>
      <c r="C143" s="153"/>
      <c r="D143" s="168"/>
      <c r="E143" s="169" t="s">
        <v>20</v>
      </c>
      <c r="F143" s="170">
        <v>111561.0</v>
      </c>
      <c r="G143" s="167"/>
      <c r="H143" s="170">
        <v>0.0</v>
      </c>
      <c r="I143" s="167"/>
      <c r="J143" s="170">
        <v>1830.0</v>
      </c>
      <c r="K143" s="167"/>
      <c r="L143" s="170">
        <v>6052.0</v>
      </c>
      <c r="M143" s="167"/>
      <c r="N143" s="170">
        <v>0.0</v>
      </c>
      <c r="O143" s="171"/>
      <c r="P143" s="170">
        <f t="shared" si="6"/>
        <v>119443</v>
      </c>
      <c r="Q143" s="194"/>
      <c r="R143" s="151"/>
    </row>
    <row r="144" ht="24.0" customHeight="1">
      <c r="A144" s="162" t="s">
        <v>44</v>
      </c>
      <c r="B144" s="172" t="s">
        <v>45</v>
      </c>
      <c r="C144" s="153"/>
      <c r="D144" s="168"/>
      <c r="E144" s="169" t="s">
        <v>53</v>
      </c>
      <c r="F144" s="170">
        <f>500+940+3074+7721+4336</f>
        <v>16571</v>
      </c>
      <c r="G144" s="167"/>
      <c r="H144" s="170">
        <f>5760+580+1458+2274+1503+3801</f>
        <v>15376</v>
      </c>
      <c r="I144" s="167"/>
      <c r="J144" s="170">
        <f>620+2874+459+500+2287+2499+699</f>
        <v>9938</v>
      </c>
      <c r="K144" s="167"/>
      <c r="L144" s="170">
        <f>(26.32+13.6+13.68)*76</f>
        <v>4073.6</v>
      </c>
      <c r="M144" s="167"/>
      <c r="N144" s="170">
        <v>0.0</v>
      </c>
      <c r="O144" s="171"/>
      <c r="P144" s="170">
        <f t="shared" si="6"/>
        <v>45958.6</v>
      </c>
      <c r="Q144" s="194"/>
      <c r="R144" s="151"/>
    </row>
    <row r="145" ht="24.0" customHeight="1">
      <c r="A145" s="162" t="s">
        <v>46</v>
      </c>
      <c r="B145" s="172" t="s">
        <v>47</v>
      </c>
      <c r="C145" s="151"/>
      <c r="D145" s="168"/>
      <c r="E145" s="173" t="s">
        <v>22</v>
      </c>
      <c r="F145" s="170">
        <v>0.0</v>
      </c>
      <c r="G145" s="167"/>
      <c r="H145" s="170">
        <v>4597.0</v>
      </c>
      <c r="I145" s="167"/>
      <c r="J145" s="170">
        <f>2780</f>
        <v>2780</v>
      </c>
      <c r="K145" s="167"/>
      <c r="L145" s="170">
        <v>0.0</v>
      </c>
      <c r="M145" s="167"/>
      <c r="N145" s="170">
        <f>(12.25)*76</f>
        <v>931</v>
      </c>
      <c r="O145" s="170"/>
      <c r="P145" s="170">
        <f t="shared" si="6"/>
        <v>8308</v>
      </c>
      <c r="Q145" s="194"/>
      <c r="R145" s="151"/>
    </row>
    <row r="146" ht="24.0" customHeight="1">
      <c r="A146" s="174" t="s">
        <v>48</v>
      </c>
      <c r="B146" s="175" t="s">
        <v>49</v>
      </c>
      <c r="C146" s="153"/>
      <c r="D146" s="168"/>
      <c r="E146" s="173" t="s">
        <v>23</v>
      </c>
      <c r="F146" s="170">
        <f>1850+3060</f>
        <v>4910</v>
      </c>
      <c r="G146" s="167"/>
      <c r="H146" s="170">
        <v>0.0</v>
      </c>
      <c r="I146" s="167"/>
      <c r="J146" s="170">
        <v>0.0</v>
      </c>
      <c r="K146" s="167"/>
      <c r="L146" s="170">
        <f>(11.99+6.5)*76</f>
        <v>1405.24</v>
      </c>
      <c r="M146" s="167"/>
      <c r="N146" s="170">
        <v>0.0</v>
      </c>
      <c r="O146" s="171"/>
      <c r="P146" s="170">
        <f t="shared" si="6"/>
        <v>6315.24</v>
      </c>
      <c r="Q146" s="194"/>
      <c r="R146" s="151"/>
    </row>
    <row r="147" ht="24.0" customHeight="1">
      <c r="A147" s="176"/>
      <c r="B147" s="153"/>
      <c r="C147" s="153"/>
      <c r="D147" s="168"/>
      <c r="E147" s="169" t="s">
        <v>24</v>
      </c>
      <c r="F147" s="170">
        <f>590+990</f>
        <v>1580</v>
      </c>
      <c r="G147" s="167"/>
      <c r="H147" s="170">
        <v>1050.0</v>
      </c>
      <c r="I147" s="167"/>
      <c r="J147" s="170">
        <f>1980+1190+1110+1000</f>
        <v>5280</v>
      </c>
      <c r="K147" s="167"/>
      <c r="L147" s="170">
        <f>1980+2206</f>
        <v>4186</v>
      </c>
      <c r="M147" s="167"/>
      <c r="N147" s="170">
        <f>((26+26)*76)</f>
        <v>3952</v>
      </c>
      <c r="O147" s="171"/>
      <c r="P147" s="170">
        <f t="shared" si="6"/>
        <v>16048</v>
      </c>
      <c r="Q147" s="194"/>
      <c r="R147" s="151"/>
    </row>
    <row r="148" ht="24.0" customHeight="1">
      <c r="A148" s="176"/>
      <c r="B148" s="153"/>
      <c r="C148" s="153"/>
      <c r="D148" s="168"/>
      <c r="E148" s="169" t="s">
        <v>25</v>
      </c>
      <c r="F148" s="170">
        <v>0.0</v>
      </c>
      <c r="G148" s="167"/>
      <c r="H148" s="170">
        <v>0.0</v>
      </c>
      <c r="I148" s="167"/>
      <c r="J148" s="170">
        <f>18000</f>
        <v>18000</v>
      </c>
      <c r="K148" s="167"/>
      <c r="L148" s="170">
        <v>0.0</v>
      </c>
      <c r="M148" s="167"/>
      <c r="N148" s="170">
        <v>0.0</v>
      </c>
      <c r="O148" s="171"/>
      <c r="P148" s="170">
        <f t="shared" si="6"/>
        <v>18000</v>
      </c>
      <c r="Q148" s="194"/>
      <c r="R148" s="151"/>
    </row>
    <row r="149" ht="24.0" customHeight="1">
      <c r="A149" s="186"/>
      <c r="B149" s="151"/>
      <c r="C149" s="151"/>
      <c r="D149" s="168"/>
      <c r="E149" s="169" t="s">
        <v>26</v>
      </c>
      <c r="F149" s="170">
        <v>30000.0</v>
      </c>
      <c r="G149" s="167"/>
      <c r="H149" s="170">
        <v>0.0</v>
      </c>
      <c r="I149" s="167"/>
      <c r="J149" s="170">
        <v>0.0</v>
      </c>
      <c r="K149" s="167"/>
      <c r="L149" s="170">
        <v>0.0</v>
      </c>
      <c r="M149" s="167"/>
      <c r="N149" s="170">
        <v>0.0</v>
      </c>
      <c r="O149" s="171"/>
      <c r="P149" s="170">
        <f t="shared" si="6"/>
        <v>30000</v>
      </c>
      <c r="Q149" s="194"/>
      <c r="R149" s="151"/>
    </row>
    <row r="150" ht="24.0" customHeight="1">
      <c r="A150" s="176"/>
      <c r="B150" s="153"/>
      <c r="C150" s="153"/>
      <c r="D150" s="168"/>
      <c r="E150" s="169" t="s">
        <v>56</v>
      </c>
      <c r="F150" s="170">
        <v>0.0</v>
      </c>
      <c r="G150" s="167"/>
      <c r="H150" s="170">
        <f>10995+8985</f>
        <v>19980</v>
      </c>
      <c r="I150" s="167"/>
      <c r="J150" s="170">
        <v>0.0</v>
      </c>
      <c r="K150" s="167"/>
      <c r="L150" s="170">
        <v>0.0</v>
      </c>
      <c r="M150" s="167"/>
      <c r="N150" s="170">
        <f>(18)*76</f>
        <v>1368</v>
      </c>
      <c r="O150" s="170"/>
      <c r="P150" s="170">
        <f t="shared" si="6"/>
        <v>21348</v>
      </c>
      <c r="Q150" s="194"/>
      <c r="R150" s="151"/>
    </row>
    <row r="151" ht="24.0" customHeight="1">
      <c r="A151" s="176"/>
      <c r="B151" s="153"/>
      <c r="C151" s="153"/>
      <c r="D151" s="168"/>
      <c r="E151" s="169" t="s">
        <v>28</v>
      </c>
      <c r="F151" s="170">
        <v>0.0</v>
      </c>
      <c r="G151" s="167"/>
      <c r="H151" s="170">
        <v>0.0</v>
      </c>
      <c r="I151" s="167"/>
      <c r="J151" s="170">
        <f>71258</f>
        <v>71258</v>
      </c>
      <c r="K151" s="167"/>
      <c r="L151" s="170">
        <v>0.0</v>
      </c>
      <c r="M151" s="167"/>
      <c r="N151" s="170">
        <v>0.0</v>
      </c>
      <c r="O151" s="171"/>
      <c r="P151" s="170">
        <f t="shared" si="6"/>
        <v>71258</v>
      </c>
      <c r="Q151" s="194"/>
      <c r="R151" s="151"/>
    </row>
    <row r="152" ht="24.0" customHeight="1">
      <c r="A152" s="176"/>
      <c r="B152" s="153"/>
      <c r="C152" s="153"/>
      <c r="D152" s="168"/>
      <c r="E152" s="169" t="s">
        <v>29</v>
      </c>
      <c r="F152" s="170">
        <v>0.0</v>
      </c>
      <c r="G152" s="167"/>
      <c r="H152" s="170">
        <v>9500.0</v>
      </c>
      <c r="I152" s="167"/>
      <c r="J152" s="170">
        <v>0.0</v>
      </c>
      <c r="K152" s="167"/>
      <c r="L152" s="170">
        <v>0.0</v>
      </c>
      <c r="M152" s="167"/>
      <c r="N152" s="170">
        <v>0.0</v>
      </c>
      <c r="O152" s="171"/>
      <c r="P152" s="170">
        <f t="shared" si="6"/>
        <v>9500</v>
      </c>
      <c r="Q152" s="194"/>
      <c r="R152" s="151"/>
    </row>
    <row r="153" ht="24.0" customHeight="1">
      <c r="A153" s="186"/>
      <c r="B153" s="151"/>
      <c r="C153" s="151"/>
      <c r="D153" s="168"/>
      <c r="E153" s="169" t="s">
        <v>30</v>
      </c>
      <c r="F153" s="170">
        <v>2000.0</v>
      </c>
      <c r="G153" s="167"/>
      <c r="H153" s="170">
        <v>0.0</v>
      </c>
      <c r="I153" s="167"/>
      <c r="J153" s="170">
        <v>0.0</v>
      </c>
      <c r="K153" s="167"/>
      <c r="L153" s="170">
        <v>0.0</v>
      </c>
      <c r="M153" s="167"/>
      <c r="N153" s="170">
        <v>0.0</v>
      </c>
      <c r="O153" s="171"/>
      <c r="P153" s="170">
        <f t="shared" si="6"/>
        <v>2000</v>
      </c>
      <c r="Q153" s="194"/>
      <c r="R153" s="151"/>
    </row>
    <row r="154" ht="24.0" customHeight="1">
      <c r="A154" s="176"/>
      <c r="B154" s="153"/>
      <c r="C154" s="153"/>
      <c r="D154" s="168"/>
      <c r="E154" s="169" t="s">
        <v>37</v>
      </c>
      <c r="F154" s="170">
        <v>0.0</v>
      </c>
      <c r="G154" s="167"/>
      <c r="H154" s="170">
        <v>0.0</v>
      </c>
      <c r="I154" s="167"/>
      <c r="J154" s="170">
        <v>5000.0</v>
      </c>
      <c r="K154" s="167"/>
      <c r="L154" s="170">
        <v>0.0</v>
      </c>
      <c r="M154" s="167"/>
      <c r="N154" s="170">
        <v>0.0</v>
      </c>
      <c r="O154" s="171"/>
      <c r="P154" s="170">
        <f t="shared" si="6"/>
        <v>5000</v>
      </c>
      <c r="Q154" s="194"/>
      <c r="R154" s="151"/>
    </row>
    <row r="155" ht="24.0" customHeight="1">
      <c r="A155" s="176"/>
      <c r="B155" s="153"/>
      <c r="C155" s="153"/>
      <c r="D155" s="168"/>
      <c r="E155" s="169" t="s">
        <v>58</v>
      </c>
      <c r="F155" s="170">
        <v>4200.0</v>
      </c>
      <c r="G155" s="167"/>
      <c r="H155" s="170">
        <v>0.0</v>
      </c>
      <c r="I155" s="167"/>
      <c r="J155" s="170">
        <f>4450+1950-2000-2000+79420</f>
        <v>81820</v>
      </c>
      <c r="K155" s="167"/>
      <c r="L155" s="170">
        <f>(340*76)</f>
        <v>25840</v>
      </c>
      <c r="M155" s="167"/>
      <c r="N155" s="170">
        <v>0.0</v>
      </c>
      <c r="O155" s="171"/>
      <c r="P155" s="170">
        <f t="shared" si="6"/>
        <v>111860</v>
      </c>
      <c r="Q155" s="194"/>
      <c r="R155" s="151"/>
    </row>
    <row r="156" ht="24.0" customHeight="1">
      <c r="A156" s="176"/>
      <c r="B156" s="153"/>
      <c r="C156" s="153"/>
      <c r="D156" s="177"/>
      <c r="E156" s="178" t="s">
        <v>33</v>
      </c>
      <c r="F156" s="170">
        <v>0.0</v>
      </c>
      <c r="G156" s="167"/>
      <c r="H156" s="170">
        <v>0.0</v>
      </c>
      <c r="I156" s="167"/>
      <c r="J156" s="170">
        <v>0.0</v>
      </c>
      <c r="K156" s="167"/>
      <c r="L156" s="170">
        <v>0.0</v>
      </c>
      <c r="M156" s="167"/>
      <c r="N156" s="170">
        <v>0.0</v>
      </c>
      <c r="O156" s="180"/>
      <c r="P156" s="170">
        <f t="shared" si="6"/>
        <v>0</v>
      </c>
      <c r="Q156" s="197"/>
      <c r="R156" s="151"/>
    </row>
    <row r="157" ht="24.0" customHeight="1">
      <c r="A157" s="176"/>
      <c r="B157" s="153"/>
      <c r="C157" s="153"/>
      <c r="D157" s="181"/>
      <c r="E157" s="182" t="s">
        <v>34</v>
      </c>
      <c r="F157" s="181">
        <f>SUM(F158:F161)</f>
        <v>710945</v>
      </c>
      <c r="G157" s="183"/>
      <c r="H157" s="181">
        <f>SUM(H158:H161)</f>
        <v>0</v>
      </c>
      <c r="I157" s="183"/>
      <c r="J157" s="181">
        <f>SUM(J158:J161)</f>
        <v>0</v>
      </c>
      <c r="K157" s="183"/>
      <c r="L157" s="181">
        <f>SUM(L158:L161)</f>
        <v>0</v>
      </c>
      <c r="M157" s="183"/>
      <c r="N157" s="181">
        <f>SUM(N158:N161)</f>
        <v>0</v>
      </c>
      <c r="O157" s="181"/>
      <c r="P157" s="166">
        <f t="shared" si="6"/>
        <v>710945</v>
      </c>
      <c r="Q157" s="181"/>
      <c r="R157" s="151"/>
    </row>
    <row r="158" ht="24.0" customHeight="1">
      <c r="A158" s="176"/>
      <c r="B158" s="153"/>
      <c r="C158" s="153"/>
      <c r="D158" s="184"/>
      <c r="E158" s="169" t="s">
        <v>35</v>
      </c>
      <c r="F158" s="170">
        <v>687133.0</v>
      </c>
      <c r="G158" s="167"/>
      <c r="H158" s="170">
        <v>0.0</v>
      </c>
      <c r="I158" s="167"/>
      <c r="J158" s="170">
        <v>0.0</v>
      </c>
      <c r="K158" s="167"/>
      <c r="L158" s="170">
        <v>0.0</v>
      </c>
      <c r="M158" s="167"/>
      <c r="N158" s="170">
        <v>0.0</v>
      </c>
      <c r="O158" s="171"/>
      <c r="P158" s="170">
        <f t="shared" si="6"/>
        <v>687133</v>
      </c>
      <c r="Q158" s="194"/>
      <c r="R158" s="151"/>
    </row>
    <row r="159" ht="24.0" customHeight="1">
      <c r="A159" s="176"/>
      <c r="B159" s="153"/>
      <c r="C159" s="153"/>
      <c r="D159" s="184"/>
      <c r="E159" s="169" t="s">
        <v>36</v>
      </c>
      <c r="F159" s="170">
        <v>23812.0</v>
      </c>
      <c r="G159" s="167"/>
      <c r="H159" s="170"/>
      <c r="I159" s="170">
        <v>0.0</v>
      </c>
      <c r="J159" s="170"/>
      <c r="K159" s="170">
        <v>0.0</v>
      </c>
      <c r="L159" s="170"/>
      <c r="M159" s="170">
        <v>0.0</v>
      </c>
      <c r="N159" s="170">
        <v>0.0</v>
      </c>
      <c r="O159" s="171"/>
      <c r="P159" s="170">
        <f t="shared" si="6"/>
        <v>23812</v>
      </c>
      <c r="Q159" s="194"/>
      <c r="R159" s="151"/>
    </row>
    <row r="160" ht="24.0" customHeight="1">
      <c r="A160" s="186"/>
      <c r="B160" s="151"/>
      <c r="C160" s="151"/>
      <c r="D160" s="184"/>
      <c r="E160" s="169" t="s">
        <v>37</v>
      </c>
      <c r="F160" s="170">
        <v>0.0</v>
      </c>
      <c r="G160" s="167"/>
      <c r="H160" s="170">
        <v>0.0</v>
      </c>
      <c r="I160" s="167"/>
      <c r="J160" s="170">
        <v>0.0</v>
      </c>
      <c r="K160" s="167"/>
      <c r="L160" s="170">
        <v>0.0</v>
      </c>
      <c r="M160" s="167"/>
      <c r="N160" s="170">
        <v>0.0</v>
      </c>
      <c r="O160" s="171"/>
      <c r="P160" s="170">
        <f t="shared" si="6"/>
        <v>0</v>
      </c>
      <c r="Q160" s="194"/>
      <c r="R160" s="151"/>
    </row>
    <row r="161" ht="24.0" customHeight="1">
      <c r="A161" s="187"/>
      <c r="B161" s="188"/>
      <c r="C161" s="188"/>
      <c r="D161" s="184"/>
      <c r="E161" s="169" t="s">
        <v>33</v>
      </c>
      <c r="F161" s="170">
        <v>0.0</v>
      </c>
      <c r="G161" s="167"/>
      <c r="H161" s="170">
        <v>0.0</v>
      </c>
      <c r="I161" s="167"/>
      <c r="J161" s="170">
        <v>0.0</v>
      </c>
      <c r="K161" s="167"/>
      <c r="L161" s="170">
        <v>0.0</v>
      </c>
      <c r="M161" s="167"/>
      <c r="N161" s="170">
        <v>0.0</v>
      </c>
      <c r="O161" s="171"/>
      <c r="P161" s="170">
        <f t="shared" si="6"/>
        <v>0</v>
      </c>
      <c r="Q161" s="194"/>
      <c r="R161" s="189"/>
    </row>
    <row r="162" ht="24.0" customHeight="1">
      <c r="A162" s="153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</row>
    <row r="163" ht="3.0" customHeight="1">
      <c r="A163" s="153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</row>
    <row r="164" ht="1.5" customHeight="1">
      <c r="A164" s="153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</row>
    <row r="165" ht="24.0" customHeight="1">
      <c r="A165" s="176"/>
      <c r="B165" s="153"/>
      <c r="C165" s="153"/>
      <c r="D165" s="131"/>
      <c r="E165" s="131"/>
      <c r="F165" s="131"/>
      <c r="G165" s="132"/>
      <c r="H165" s="132"/>
      <c r="I165" s="133">
        <f>(I166/D166)</f>
        <v>0.8251518403</v>
      </c>
      <c r="K165" s="132"/>
      <c r="L165" s="135"/>
      <c r="M165" s="136">
        <f>(1 - I165)</f>
        <v>0.1748481597</v>
      </c>
      <c r="N165" s="137"/>
      <c r="O165" s="137"/>
      <c r="P165" s="132"/>
      <c r="Q165" s="132"/>
      <c r="R165" s="151"/>
    </row>
    <row r="166" ht="24.0" customHeight="1">
      <c r="A166" s="176"/>
      <c r="B166" s="153"/>
      <c r="C166" s="153"/>
      <c r="D166" s="140">
        <f>P186</f>
        <v>622562</v>
      </c>
      <c r="E166" s="141"/>
      <c r="F166" s="141"/>
      <c r="G166" s="132"/>
      <c r="I166" s="134">
        <f>P171</f>
        <v>513708.18</v>
      </c>
      <c r="K166" s="132"/>
      <c r="L166" s="135">
        <f>D166-I166</f>
        <v>108853.82</v>
      </c>
      <c r="N166" s="137">
        <v>0.0</v>
      </c>
      <c r="P166" s="132"/>
      <c r="Q166" s="132"/>
      <c r="R166" s="190"/>
    </row>
    <row r="167" ht="24.0" customHeight="1">
      <c r="A167" s="176"/>
      <c r="B167" s="153"/>
      <c r="C167" s="153"/>
      <c r="D167" s="191" t="s">
        <v>1</v>
      </c>
      <c r="E167" s="18"/>
      <c r="F167" s="18"/>
      <c r="G167" s="18"/>
      <c r="H167" s="18"/>
      <c r="I167" s="191" t="s">
        <v>2</v>
      </c>
      <c r="J167" s="18"/>
      <c r="K167" s="18"/>
      <c r="L167" s="191" t="s">
        <v>3</v>
      </c>
      <c r="M167" s="18"/>
      <c r="N167" s="192" t="s">
        <v>14</v>
      </c>
      <c r="O167" s="18"/>
      <c r="P167" s="18"/>
      <c r="Q167" s="18"/>
      <c r="R167" s="151"/>
    </row>
    <row r="168" ht="24.0" customHeight="1">
      <c r="A168" s="151"/>
      <c r="B168" s="151"/>
      <c r="C168" s="151"/>
      <c r="D168" s="151"/>
      <c r="E168" s="151"/>
      <c r="F168" s="15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</row>
    <row r="169" ht="24.0" customHeight="1">
      <c r="A169" s="152"/>
      <c r="B169" s="152"/>
      <c r="C169" s="151"/>
      <c r="D169" s="193" t="s">
        <v>57</v>
      </c>
      <c r="E169" s="139"/>
      <c r="F169" s="139"/>
      <c r="G169" s="139"/>
      <c r="H169" s="139"/>
      <c r="I169" s="139"/>
      <c r="J169" s="139"/>
      <c r="K169" s="139"/>
      <c r="L169" s="139"/>
      <c r="M169" s="139"/>
      <c r="N169" s="139"/>
      <c r="O169" s="139"/>
      <c r="P169" s="139"/>
      <c r="Q169" s="139"/>
      <c r="R169" s="151"/>
    </row>
    <row r="170" ht="24.0" customHeight="1">
      <c r="A170" s="155" t="s">
        <v>40</v>
      </c>
      <c r="B170" s="156" t="s">
        <v>41</v>
      </c>
      <c r="C170" s="151"/>
      <c r="D170" s="157"/>
      <c r="E170" s="158" t="s">
        <v>6</v>
      </c>
      <c r="F170" s="159" t="s">
        <v>15</v>
      </c>
      <c r="G170" s="160"/>
      <c r="H170" s="159" t="s">
        <v>16</v>
      </c>
      <c r="I170" s="160"/>
      <c r="J170" s="159" t="s">
        <v>17</v>
      </c>
      <c r="K170" s="160"/>
      <c r="L170" s="159" t="s">
        <v>18</v>
      </c>
      <c r="M170" s="160"/>
      <c r="N170" s="159" t="s">
        <v>19</v>
      </c>
      <c r="O170" s="157"/>
      <c r="P170" s="159" t="s">
        <v>12</v>
      </c>
      <c r="Q170" s="157"/>
      <c r="R170" s="151"/>
    </row>
    <row r="171" ht="24.0" customHeight="1">
      <c r="A171" s="162" t="s">
        <v>42</v>
      </c>
      <c r="B171" s="163">
        <v>44932.0</v>
      </c>
      <c r="C171" s="153"/>
      <c r="D171" s="164"/>
      <c r="E171" s="165" t="s">
        <v>13</v>
      </c>
      <c r="F171" s="166">
        <f>SUM(F172:F185)</f>
        <v>13440.75</v>
      </c>
      <c r="G171" s="167"/>
      <c r="H171" s="166">
        <f>SUM(H172:H185)</f>
        <v>196258.43</v>
      </c>
      <c r="I171" s="167"/>
      <c r="J171" s="166">
        <f>SUM(J172:J185)</f>
        <v>243851</v>
      </c>
      <c r="K171" s="167"/>
      <c r="L171" s="166">
        <f>SUM(L172:L185)</f>
        <v>29372</v>
      </c>
      <c r="M171" s="167"/>
      <c r="N171" s="166">
        <f>SUM(N172:N185)</f>
        <v>30786</v>
      </c>
      <c r="O171" s="166"/>
      <c r="P171" s="166">
        <f t="shared" ref="P171:P190" si="7">SUM(F171:O171)</f>
        <v>513708.18</v>
      </c>
      <c r="Q171" s="166"/>
      <c r="R171" s="151"/>
    </row>
    <row r="172" ht="24.0" customHeight="1">
      <c r="A172" s="162" t="s">
        <v>43</v>
      </c>
      <c r="B172" s="163">
        <v>45120.0</v>
      </c>
      <c r="C172" s="153"/>
      <c r="D172" s="168"/>
      <c r="E172" s="169" t="s">
        <v>20</v>
      </c>
      <c r="F172" s="170">
        <v>0.0</v>
      </c>
      <c r="G172" s="167"/>
      <c r="H172" s="170">
        <f>110125+4163</f>
        <v>114288</v>
      </c>
      <c r="I172" s="167"/>
      <c r="J172" s="170">
        <v>0.0</v>
      </c>
      <c r="K172" s="167"/>
      <c r="L172" s="170">
        <v>1830.0</v>
      </c>
      <c r="M172" s="167"/>
      <c r="N172" s="170">
        <v>0.0</v>
      </c>
      <c r="O172" s="171"/>
      <c r="P172" s="170">
        <f t="shared" si="7"/>
        <v>116118</v>
      </c>
      <c r="Q172" s="194"/>
      <c r="R172" s="151"/>
    </row>
    <row r="173" ht="24.0" customHeight="1">
      <c r="A173" s="162" t="s">
        <v>44</v>
      </c>
      <c r="B173" s="172" t="s">
        <v>45</v>
      </c>
      <c r="C173" s="153"/>
      <c r="D173" s="168"/>
      <c r="E173" s="169" t="s">
        <v>53</v>
      </c>
      <c r="F173" s="170">
        <f>(29.72+7.49)*75</f>
        <v>2790.75</v>
      </c>
      <c r="G173" s="167"/>
      <c r="H173" s="170">
        <f>(47.46+9.49+69.85)*75+500+7860+3157</f>
        <v>21027</v>
      </c>
      <c r="I173" s="167"/>
      <c r="J173" s="170">
        <f>3846+2406+620+2497+3507</f>
        <v>12876</v>
      </c>
      <c r="K173" s="167"/>
      <c r="L173" s="170">
        <f>1859+1327+3103</f>
        <v>6289</v>
      </c>
      <c r="M173" s="167"/>
      <c r="N173" s="170">
        <f>730+1296+469+698+1134+916+600+2854</f>
        <v>8697</v>
      </c>
      <c r="O173" s="171"/>
      <c r="P173" s="170">
        <f t="shared" si="7"/>
        <v>51679.75</v>
      </c>
      <c r="Q173" s="194"/>
      <c r="R173" s="151"/>
    </row>
    <row r="174" ht="24.0" customHeight="1">
      <c r="A174" s="162" t="s">
        <v>46</v>
      </c>
      <c r="B174" s="172" t="s">
        <v>47</v>
      </c>
      <c r="C174" s="151"/>
      <c r="D174" s="168"/>
      <c r="E174" s="173" t="s">
        <v>22</v>
      </c>
      <c r="F174" s="170">
        <v>0.0</v>
      </c>
      <c r="G174" s="167"/>
      <c r="H174" s="170">
        <f>1199</f>
        <v>1199</v>
      </c>
      <c r="I174" s="167"/>
      <c r="J174" s="170">
        <v>0.0</v>
      </c>
      <c r="K174" s="167"/>
      <c r="L174" s="170">
        <v>0.0</v>
      </c>
      <c r="M174" s="167"/>
      <c r="N174" s="170">
        <v>0.0</v>
      </c>
      <c r="O174" s="171"/>
      <c r="P174" s="170">
        <f t="shared" si="7"/>
        <v>1199</v>
      </c>
      <c r="Q174" s="194"/>
      <c r="R174" s="151"/>
    </row>
    <row r="175" ht="24.0" customHeight="1">
      <c r="A175" s="174" t="s">
        <v>48</v>
      </c>
      <c r="B175" s="175" t="s">
        <v>49</v>
      </c>
      <c r="C175" s="153"/>
      <c r="D175" s="168"/>
      <c r="E175" s="173" t="s">
        <v>23</v>
      </c>
      <c r="F175" s="170">
        <v>0.0</v>
      </c>
      <c r="G175" s="167"/>
      <c r="H175" s="170">
        <f>(34.5+15+12.9+15)*77+2190+1850+5680+1850</f>
        <v>17529.8</v>
      </c>
      <c r="I175" s="167"/>
      <c r="J175" s="170">
        <f>464+2990+(2540+3371+1850)</f>
        <v>11215</v>
      </c>
      <c r="K175" s="167"/>
      <c r="L175" s="170">
        <f>1435+2480+3440+1768</f>
        <v>9123</v>
      </c>
      <c r="M175" s="167"/>
      <c r="N175" s="170">
        <f>4130</f>
        <v>4130</v>
      </c>
      <c r="O175" s="171"/>
      <c r="P175" s="170">
        <f t="shared" si="7"/>
        <v>41997.8</v>
      </c>
      <c r="Q175" s="194"/>
      <c r="R175" s="151"/>
    </row>
    <row r="176" ht="24.0" customHeight="1">
      <c r="A176" s="176"/>
      <c r="B176" s="153"/>
      <c r="C176" s="153"/>
      <c r="D176" s="168"/>
      <c r="E176" s="169" t="s">
        <v>24</v>
      </c>
      <c r="F176" s="170">
        <v>0.0</v>
      </c>
      <c r="G176" s="167"/>
      <c r="H176" s="170">
        <f>(24+16)*77.76</f>
        <v>3110.4</v>
      </c>
      <c r="I176" s="167"/>
      <c r="J176" s="170">
        <f>1000+750</f>
        <v>1750</v>
      </c>
      <c r="K176" s="167"/>
      <c r="L176" s="170">
        <f>1290</f>
        <v>1290</v>
      </c>
      <c r="M176" s="167"/>
      <c r="N176" s="170">
        <f>1445+700</f>
        <v>2145</v>
      </c>
      <c r="O176" s="171"/>
      <c r="P176" s="170">
        <f t="shared" si="7"/>
        <v>8295.4</v>
      </c>
      <c r="Q176" s="194"/>
      <c r="R176" s="151"/>
    </row>
    <row r="177" ht="24.0" customHeight="1">
      <c r="A177" s="176"/>
      <c r="B177" s="153"/>
      <c r="C177" s="153"/>
      <c r="D177" s="168"/>
      <c r="E177" s="169" t="s">
        <v>25</v>
      </c>
      <c r="F177" s="170">
        <v>0.0</v>
      </c>
      <c r="G177" s="167"/>
      <c r="H177" s="170">
        <v>0.0</v>
      </c>
      <c r="I177" s="167"/>
      <c r="J177" s="170">
        <v>0.0</v>
      </c>
      <c r="K177" s="167"/>
      <c r="L177" s="170">
        <v>0.0</v>
      </c>
      <c r="M177" s="167"/>
      <c r="N177" s="170">
        <v>0.0</v>
      </c>
      <c r="O177" s="171"/>
      <c r="P177" s="170">
        <f t="shared" si="7"/>
        <v>0</v>
      </c>
      <c r="Q177" s="194"/>
      <c r="R177" s="151"/>
    </row>
    <row r="178" ht="24.0" customHeight="1">
      <c r="A178" s="186"/>
      <c r="B178" s="151"/>
      <c r="C178" s="151"/>
      <c r="D178" s="168"/>
      <c r="E178" s="169" t="s">
        <v>26</v>
      </c>
      <c r="F178" s="170">
        <v>0.0</v>
      </c>
      <c r="G178" s="167"/>
      <c r="H178" s="170">
        <v>0.0</v>
      </c>
      <c r="I178" s="167"/>
      <c r="J178" s="170">
        <v>40000.0</v>
      </c>
      <c r="K178" s="167"/>
      <c r="L178" s="170">
        <v>0.0</v>
      </c>
      <c r="M178" s="167"/>
      <c r="N178" s="170">
        <v>5000.0</v>
      </c>
      <c r="O178" s="171"/>
      <c r="P178" s="170">
        <f t="shared" si="7"/>
        <v>45000</v>
      </c>
      <c r="Q178" s="194"/>
      <c r="R178" s="151"/>
    </row>
    <row r="179" ht="24.0" customHeight="1">
      <c r="A179" s="176"/>
      <c r="B179" s="153"/>
      <c r="C179" s="153"/>
      <c r="D179" s="168"/>
      <c r="E179" s="169" t="s">
        <v>56</v>
      </c>
      <c r="F179" s="170">
        <v>0.0</v>
      </c>
      <c r="G179" s="167"/>
      <c r="H179" s="170">
        <f>(44.99)*77</f>
        <v>3464.23</v>
      </c>
      <c r="I179" s="167"/>
      <c r="J179" s="170">
        <v>3990.0</v>
      </c>
      <c r="K179" s="167"/>
      <c r="L179" s="170">
        <v>5100.0</v>
      </c>
      <c r="M179" s="167"/>
      <c r="N179" s="170">
        <f>6954</f>
        <v>6954</v>
      </c>
      <c r="O179" s="171"/>
      <c r="P179" s="170">
        <f t="shared" si="7"/>
        <v>19508.23</v>
      </c>
      <c r="Q179" s="194"/>
      <c r="R179" s="151"/>
    </row>
    <row r="180" ht="24.0" customHeight="1">
      <c r="A180" s="176"/>
      <c r="B180" s="153"/>
      <c r="C180" s="153"/>
      <c r="D180" s="168"/>
      <c r="E180" s="169" t="s">
        <v>28</v>
      </c>
      <c r="F180" s="170">
        <v>0.0</v>
      </c>
      <c r="G180" s="167"/>
      <c r="H180" s="170">
        <v>0.0</v>
      </c>
      <c r="I180" s="167"/>
      <c r="J180" s="170">
        <v>0.0</v>
      </c>
      <c r="K180" s="167"/>
      <c r="L180" s="170">
        <v>0.0</v>
      </c>
      <c r="M180" s="167"/>
      <c r="N180" s="170">
        <v>0.0</v>
      </c>
      <c r="O180" s="171"/>
      <c r="P180" s="170">
        <f t="shared" si="7"/>
        <v>0</v>
      </c>
      <c r="Q180" s="194"/>
      <c r="R180" s="151"/>
    </row>
    <row r="181" ht="24.0" customHeight="1">
      <c r="A181" s="176"/>
      <c r="B181" s="153"/>
      <c r="C181" s="153"/>
      <c r="D181" s="168"/>
      <c r="E181" s="169" t="s">
        <v>29</v>
      </c>
      <c r="F181" s="170">
        <f>(50*75)</f>
        <v>3750</v>
      </c>
      <c r="G181" s="167"/>
      <c r="H181" s="170">
        <f>(10+10+180)*77+2210+9500</f>
        <v>27110</v>
      </c>
      <c r="I181" s="167"/>
      <c r="J181" s="170">
        <v>0.0</v>
      </c>
      <c r="K181" s="167"/>
      <c r="L181" s="170">
        <v>0.0</v>
      </c>
      <c r="M181" s="167"/>
      <c r="N181" s="170">
        <v>0.0</v>
      </c>
      <c r="O181" s="171"/>
      <c r="P181" s="170">
        <f t="shared" si="7"/>
        <v>30860</v>
      </c>
      <c r="Q181" s="194"/>
      <c r="R181" s="151"/>
    </row>
    <row r="182" ht="24.0" customHeight="1">
      <c r="A182" s="186"/>
      <c r="B182" s="151"/>
      <c r="C182" s="151"/>
      <c r="D182" s="168"/>
      <c r="E182" s="169" t="s">
        <v>30</v>
      </c>
      <c r="F182" s="170">
        <v>0.0</v>
      </c>
      <c r="G182" s="167"/>
      <c r="H182" s="170">
        <v>0.0</v>
      </c>
      <c r="I182" s="167"/>
      <c r="J182" s="170">
        <v>0.0</v>
      </c>
      <c r="K182" s="167"/>
      <c r="L182" s="170">
        <v>0.0</v>
      </c>
      <c r="M182" s="167"/>
      <c r="N182" s="170">
        <v>0.0</v>
      </c>
      <c r="O182" s="171"/>
      <c r="P182" s="170">
        <f t="shared" si="7"/>
        <v>0</v>
      </c>
      <c r="Q182" s="194"/>
      <c r="R182" s="151"/>
    </row>
    <row r="183" ht="24.0" customHeight="1">
      <c r="A183" s="176"/>
      <c r="B183" s="153"/>
      <c r="C183" s="153"/>
      <c r="D183" s="168"/>
      <c r="E183" s="169" t="s">
        <v>37</v>
      </c>
      <c r="F183" s="170">
        <v>0.0</v>
      </c>
      <c r="G183" s="167"/>
      <c r="H183" s="170">
        <v>0.0</v>
      </c>
      <c r="I183" s="167"/>
      <c r="J183" s="170">
        <v>0.0</v>
      </c>
      <c r="K183" s="167"/>
      <c r="L183" s="170">
        <v>0.0</v>
      </c>
      <c r="M183" s="167"/>
      <c r="N183" s="170">
        <v>0.0</v>
      </c>
      <c r="O183" s="171"/>
      <c r="P183" s="170">
        <f t="shared" si="7"/>
        <v>0</v>
      </c>
      <c r="Q183" s="194"/>
      <c r="R183" s="151"/>
    </row>
    <row r="184" ht="24.0" customHeight="1">
      <c r="A184" s="176"/>
      <c r="B184" s="153"/>
      <c r="C184" s="153"/>
      <c r="D184" s="168"/>
      <c r="E184" s="169" t="s">
        <v>58</v>
      </c>
      <c r="F184" s="170">
        <f>((100-8)*75)</f>
        <v>6900</v>
      </c>
      <c r="G184" s="167"/>
      <c r="H184" s="170">
        <v>8530.0</v>
      </c>
      <c r="I184" s="167"/>
      <c r="J184" s="170">
        <f>(500+2420+1100)</f>
        <v>4020</v>
      </c>
      <c r="K184" s="167"/>
      <c r="L184" s="170">
        <f>5740</f>
        <v>5740</v>
      </c>
      <c r="M184" s="167"/>
      <c r="N184" s="170">
        <f>1100+1000+1760</f>
        <v>3860</v>
      </c>
      <c r="O184" s="171"/>
      <c r="P184" s="170">
        <f t="shared" si="7"/>
        <v>29050</v>
      </c>
      <c r="Q184" s="194"/>
      <c r="R184" s="151"/>
    </row>
    <row r="185" ht="24.0" customHeight="1">
      <c r="A185" s="176"/>
      <c r="B185" s="153"/>
      <c r="C185" s="153"/>
      <c r="D185" s="177"/>
      <c r="E185" s="178" t="s">
        <v>33</v>
      </c>
      <c r="F185" s="170">
        <v>0.0</v>
      </c>
      <c r="G185" s="167"/>
      <c r="H185" s="170">
        <v>0.0</v>
      </c>
      <c r="I185" s="167"/>
      <c r="J185" s="170">
        <v>170000.0</v>
      </c>
      <c r="K185" s="167"/>
      <c r="L185" s="170">
        <v>0.0</v>
      </c>
      <c r="M185" s="167"/>
      <c r="N185" s="170">
        <v>0.0</v>
      </c>
      <c r="O185" s="180"/>
      <c r="P185" s="170">
        <f t="shared" si="7"/>
        <v>170000</v>
      </c>
      <c r="Q185" s="197"/>
      <c r="R185" s="151"/>
    </row>
    <row r="186" ht="24.0" customHeight="1">
      <c r="A186" s="176"/>
      <c r="B186" s="153"/>
      <c r="C186" s="153"/>
      <c r="D186" s="181"/>
      <c r="E186" s="182" t="s">
        <v>34</v>
      </c>
      <c r="F186" s="181">
        <f>SUM(F187:F190)</f>
        <v>622562</v>
      </c>
      <c r="G186" s="183"/>
      <c r="H186" s="181">
        <f>SUM(H187:H190)</f>
        <v>0</v>
      </c>
      <c r="I186" s="183"/>
      <c r="J186" s="181">
        <f>SUM(J187:J190)</f>
        <v>0</v>
      </c>
      <c r="K186" s="183"/>
      <c r="L186" s="181">
        <f>SUM(L187:L190)</f>
        <v>0</v>
      </c>
      <c r="M186" s="183"/>
      <c r="N186" s="181">
        <f>SUM(N187:N190)</f>
        <v>0</v>
      </c>
      <c r="O186" s="181"/>
      <c r="P186" s="166">
        <f t="shared" si="7"/>
        <v>622562</v>
      </c>
      <c r="Q186" s="181"/>
      <c r="R186" s="151"/>
    </row>
    <row r="187" ht="24.0" customHeight="1">
      <c r="A187" s="176"/>
      <c r="B187" s="153"/>
      <c r="C187" s="153"/>
      <c r="D187" s="184"/>
      <c r="E187" s="169" t="s">
        <v>35</v>
      </c>
      <c r="F187" s="170">
        <v>598750.0</v>
      </c>
      <c r="G187" s="167"/>
      <c r="H187" s="170">
        <v>0.0</v>
      </c>
      <c r="I187" s="167"/>
      <c r="J187" s="170">
        <v>0.0</v>
      </c>
      <c r="K187" s="167"/>
      <c r="L187" s="170">
        <v>0.0</v>
      </c>
      <c r="M187" s="167"/>
      <c r="N187" s="170">
        <v>0.0</v>
      </c>
      <c r="O187" s="171"/>
      <c r="P187" s="170">
        <f t="shared" si="7"/>
        <v>598750</v>
      </c>
      <c r="Q187" s="194"/>
      <c r="R187" s="151"/>
    </row>
    <row r="188" ht="24.0" customHeight="1">
      <c r="A188" s="176"/>
      <c r="B188" s="153"/>
      <c r="C188" s="153"/>
      <c r="D188" s="184"/>
      <c r="E188" s="169" t="s">
        <v>36</v>
      </c>
      <c r="F188" s="170">
        <v>23812.0</v>
      </c>
      <c r="G188" s="167"/>
      <c r="H188" s="170"/>
      <c r="I188" s="170">
        <v>0.0</v>
      </c>
      <c r="J188" s="170"/>
      <c r="K188" s="170">
        <v>0.0</v>
      </c>
      <c r="L188" s="170"/>
      <c r="M188" s="170">
        <v>0.0</v>
      </c>
      <c r="N188" s="170">
        <v>0.0</v>
      </c>
      <c r="O188" s="171"/>
      <c r="P188" s="170">
        <f t="shared" si="7"/>
        <v>23812</v>
      </c>
      <c r="Q188" s="194"/>
      <c r="R188" s="151"/>
    </row>
    <row r="189" ht="24.0" customHeight="1">
      <c r="A189" s="186"/>
      <c r="B189" s="151"/>
      <c r="C189" s="151"/>
      <c r="D189" s="184"/>
      <c r="E189" s="169" t="s">
        <v>37</v>
      </c>
      <c r="F189" s="170">
        <v>0.0</v>
      </c>
      <c r="G189" s="167"/>
      <c r="H189" s="170">
        <v>0.0</v>
      </c>
      <c r="I189" s="167"/>
      <c r="J189" s="170">
        <v>0.0</v>
      </c>
      <c r="K189" s="167"/>
      <c r="L189" s="170">
        <v>0.0</v>
      </c>
      <c r="M189" s="167"/>
      <c r="N189" s="170">
        <v>0.0</v>
      </c>
      <c r="O189" s="171"/>
      <c r="P189" s="170">
        <f t="shared" si="7"/>
        <v>0</v>
      </c>
      <c r="Q189" s="194"/>
      <c r="R189" s="151"/>
    </row>
    <row r="190" ht="24.0" customHeight="1">
      <c r="A190" s="186"/>
      <c r="B190" s="151"/>
      <c r="C190" s="151"/>
      <c r="D190" s="210"/>
      <c r="E190" s="178" t="s">
        <v>33</v>
      </c>
      <c r="F190" s="179">
        <v>0.0</v>
      </c>
      <c r="H190" s="179">
        <v>0.0</v>
      </c>
      <c r="J190" s="179">
        <v>0.0</v>
      </c>
      <c r="L190" s="179">
        <v>0.0</v>
      </c>
      <c r="N190" s="179">
        <v>0.0</v>
      </c>
      <c r="O190" s="180"/>
      <c r="P190" s="179">
        <f t="shared" si="7"/>
        <v>0</v>
      </c>
      <c r="Q190" s="197"/>
      <c r="R190" s="151"/>
    </row>
    <row r="191" ht="24.0" customHeight="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</row>
    <row r="192">
      <c r="A192" s="153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</row>
    <row r="193">
      <c r="A193" s="153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</row>
    <row r="194">
      <c r="A194" s="153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</row>
    <row r="195">
      <c r="A195" s="176"/>
      <c r="B195" s="153"/>
      <c r="C195" s="153"/>
      <c r="D195" s="131"/>
      <c r="E195" s="131"/>
      <c r="F195" s="131"/>
      <c r="G195" s="132"/>
      <c r="H195" s="132"/>
      <c r="I195" s="133">
        <f>(I196/D196)</f>
        <v>0.6573510398</v>
      </c>
      <c r="K195" s="132"/>
      <c r="L195" s="135"/>
      <c r="M195" s="136">
        <f>(1 - I195)</f>
        <v>0.3426489602</v>
      </c>
      <c r="N195" s="137"/>
      <c r="O195" s="137"/>
      <c r="P195" s="132"/>
      <c r="Q195" s="132"/>
      <c r="R195" s="151"/>
    </row>
    <row r="196">
      <c r="A196" s="176"/>
      <c r="B196" s="153"/>
      <c r="C196" s="153"/>
      <c r="D196" s="140">
        <f>P216</f>
        <v>888831</v>
      </c>
      <c r="E196" s="141"/>
      <c r="F196" s="141"/>
      <c r="G196" s="132"/>
      <c r="I196" s="134">
        <f>P201</f>
        <v>584273.9821</v>
      </c>
      <c r="K196" s="132"/>
      <c r="L196" s="135">
        <f>D196-I196</f>
        <v>304557.0179</v>
      </c>
      <c r="N196" s="137">
        <v>0.0</v>
      </c>
      <c r="P196" s="132"/>
      <c r="Q196" s="132"/>
      <c r="R196" s="151"/>
    </row>
    <row r="197">
      <c r="A197" s="176"/>
      <c r="B197" s="153"/>
      <c r="C197" s="153"/>
      <c r="D197" s="191" t="s">
        <v>1</v>
      </c>
      <c r="E197" s="18"/>
      <c r="F197" s="18"/>
      <c r="G197" s="18"/>
      <c r="H197" s="18"/>
      <c r="I197" s="191" t="s">
        <v>2</v>
      </c>
      <c r="J197" s="18"/>
      <c r="K197" s="18"/>
      <c r="L197" s="191" t="s">
        <v>3</v>
      </c>
      <c r="M197" s="18"/>
      <c r="N197" s="192" t="s">
        <v>14</v>
      </c>
      <c r="O197" s="18"/>
      <c r="P197" s="18"/>
      <c r="Q197" s="18"/>
      <c r="R197" s="151"/>
    </row>
    <row r="198" ht="24.0" customHeight="1">
      <c r="A198" s="151"/>
      <c r="B198" s="151"/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</row>
    <row r="199" ht="24.0" customHeight="1">
      <c r="A199" s="152"/>
      <c r="B199" s="152"/>
      <c r="C199" s="151"/>
      <c r="D199" s="193" t="s">
        <v>59</v>
      </c>
      <c r="E199" s="139"/>
      <c r="F199" s="139"/>
      <c r="G199" s="139"/>
      <c r="H199" s="139"/>
      <c r="I199" s="139"/>
      <c r="J199" s="139"/>
      <c r="K199" s="139"/>
      <c r="L199" s="139"/>
      <c r="M199" s="139"/>
      <c r="N199" s="139"/>
      <c r="O199" s="139"/>
      <c r="P199" s="139"/>
      <c r="Q199" s="139"/>
      <c r="R199" s="151"/>
    </row>
    <row r="200" ht="24.0" customHeight="1">
      <c r="A200" s="155" t="s">
        <v>40</v>
      </c>
      <c r="B200" s="156" t="s">
        <v>41</v>
      </c>
      <c r="C200" s="151"/>
      <c r="D200" s="157"/>
      <c r="E200" s="158" t="s">
        <v>6</v>
      </c>
      <c r="F200" s="159" t="s">
        <v>15</v>
      </c>
      <c r="G200" s="160"/>
      <c r="H200" s="159" t="s">
        <v>16</v>
      </c>
      <c r="I200" s="160"/>
      <c r="J200" s="159" t="s">
        <v>17</v>
      </c>
      <c r="K200" s="160"/>
      <c r="L200" s="159" t="s">
        <v>18</v>
      </c>
      <c r="M200" s="160"/>
      <c r="N200" s="159" t="s">
        <v>19</v>
      </c>
      <c r="O200" s="157"/>
      <c r="P200" s="159" t="s">
        <v>12</v>
      </c>
      <c r="Q200" s="157"/>
      <c r="R200" s="151"/>
    </row>
    <row r="201" ht="24.0" customHeight="1">
      <c r="A201" s="162" t="s">
        <v>42</v>
      </c>
      <c r="B201" s="163">
        <v>44932.0</v>
      </c>
      <c r="C201" s="153"/>
      <c r="D201" s="164"/>
      <c r="E201" s="165" t="s">
        <v>13</v>
      </c>
      <c r="F201" s="166">
        <f>SUM(F202:F215)</f>
        <v>58526</v>
      </c>
      <c r="G201" s="167"/>
      <c r="H201" s="166">
        <f>SUM(H202:H215)</f>
        <v>204505</v>
      </c>
      <c r="I201" s="167"/>
      <c r="J201" s="166">
        <f>SUM(J202:J215)</f>
        <v>179573.9821</v>
      </c>
      <c r="K201" s="167"/>
      <c r="L201" s="166">
        <f>SUM(L202:L215)</f>
        <v>103966</v>
      </c>
      <c r="M201" s="167"/>
      <c r="N201" s="166">
        <f>SUM(N202:N215)</f>
        <v>37703</v>
      </c>
      <c r="O201" s="166"/>
      <c r="P201" s="166">
        <f t="shared" ref="P201:P220" si="8">SUM(F201:O201)</f>
        <v>584273.9821</v>
      </c>
      <c r="Q201" s="166"/>
      <c r="R201" s="151"/>
    </row>
    <row r="202" ht="24.0" customHeight="1">
      <c r="A202" s="162" t="s">
        <v>43</v>
      </c>
      <c r="B202" s="163">
        <v>45120.0</v>
      </c>
      <c r="C202" s="153"/>
      <c r="D202" s="168"/>
      <c r="E202" s="169" t="s">
        <v>20</v>
      </c>
      <c r="F202" s="170">
        <v>0.0</v>
      </c>
      <c r="G202" s="167"/>
      <c r="H202" s="170">
        <v>121675.0</v>
      </c>
      <c r="I202" s="167"/>
      <c r="J202" s="170">
        <v>4163.0</v>
      </c>
      <c r="K202" s="167"/>
      <c r="L202" s="170">
        <v>0.0</v>
      </c>
      <c r="M202" s="167"/>
      <c r="N202" s="170">
        <v>0.0</v>
      </c>
      <c r="O202" s="171"/>
      <c r="P202" s="170">
        <f t="shared" si="8"/>
        <v>125838</v>
      </c>
      <c r="Q202" s="194"/>
      <c r="R202" s="151"/>
    </row>
    <row r="203" ht="24.0" customHeight="1">
      <c r="A203" s="162" t="s">
        <v>44</v>
      </c>
      <c r="B203" s="172" t="s">
        <v>45</v>
      </c>
      <c r="C203" s="153"/>
      <c r="D203" s="168"/>
      <c r="E203" s="169" t="s">
        <v>53</v>
      </c>
      <c r="F203" s="170">
        <f>2546+309+995+3956+600+668+405+2239</f>
        <v>11718</v>
      </c>
      <c r="G203" s="167"/>
      <c r="H203" s="170">
        <f>2350+(5870-3500)+560</f>
        <v>5280</v>
      </c>
      <c r="I203" s="167"/>
      <c r="J203" s="170">
        <f>3224</f>
        <v>3224</v>
      </c>
      <c r="K203" s="167"/>
      <c r="L203" s="170">
        <f>10178+389+1845</f>
        <v>12412</v>
      </c>
      <c r="M203" s="167"/>
      <c r="N203" s="170">
        <f>1589+2372</f>
        <v>3961</v>
      </c>
      <c r="O203" s="171"/>
      <c r="P203" s="170">
        <f t="shared" si="8"/>
        <v>36595</v>
      </c>
      <c r="Q203" s="194"/>
      <c r="R203" s="151"/>
    </row>
    <row r="204" ht="24.0" customHeight="1">
      <c r="A204" s="162" t="s">
        <v>46</v>
      </c>
      <c r="B204" s="172" t="s">
        <v>47</v>
      </c>
      <c r="C204" s="151"/>
      <c r="D204" s="168"/>
      <c r="E204" s="173" t="s">
        <v>22</v>
      </c>
      <c r="F204" s="170">
        <v>0.0</v>
      </c>
      <c r="G204" s="167"/>
      <c r="H204" s="170">
        <f>1649</f>
        <v>1649</v>
      </c>
      <c r="I204" s="167"/>
      <c r="J204" s="170">
        <v>0.0</v>
      </c>
      <c r="K204" s="167"/>
      <c r="L204" s="170">
        <f>1740+598</f>
        <v>2338</v>
      </c>
      <c r="M204" s="167"/>
      <c r="N204" s="170">
        <v>0.0</v>
      </c>
      <c r="O204" s="171"/>
      <c r="P204" s="170">
        <f t="shared" si="8"/>
        <v>3987</v>
      </c>
      <c r="Q204" s="194"/>
      <c r="R204" s="151"/>
    </row>
    <row r="205" ht="24.0" customHeight="1">
      <c r="A205" s="174" t="s">
        <v>48</v>
      </c>
      <c r="B205" s="175" t="s">
        <v>49</v>
      </c>
      <c r="C205" s="153"/>
      <c r="D205" s="168"/>
      <c r="E205" s="173" t="s">
        <v>23</v>
      </c>
      <c r="F205" s="170">
        <f>2600+500</f>
        <v>3100</v>
      </c>
      <c r="G205" s="167"/>
      <c r="H205" s="170">
        <f>2290</f>
        <v>2290</v>
      </c>
      <c r="I205" s="167"/>
      <c r="J205" s="170">
        <v>0.0</v>
      </c>
      <c r="K205" s="167"/>
      <c r="L205" s="170">
        <v>2819.0</v>
      </c>
      <c r="M205" s="167"/>
      <c r="N205" s="170">
        <f>3620+3000</f>
        <v>6620</v>
      </c>
      <c r="O205" s="171"/>
      <c r="P205" s="170">
        <f t="shared" si="8"/>
        <v>14829</v>
      </c>
      <c r="Q205" s="194"/>
      <c r="R205" s="151"/>
    </row>
    <row r="206" ht="24.0" customHeight="1">
      <c r="A206" s="176"/>
      <c r="B206" s="153"/>
      <c r="C206" s="153"/>
      <c r="D206" s="168"/>
      <c r="E206" s="169" t="s">
        <v>24</v>
      </c>
      <c r="F206" s="170">
        <v>1190.0</v>
      </c>
      <c r="G206" s="167"/>
      <c r="H206" s="170">
        <f>3500+2611+1000+1150</f>
        <v>8261</v>
      </c>
      <c r="I206" s="167"/>
      <c r="J206" s="170">
        <f>1940+1190+1590</f>
        <v>4720</v>
      </c>
      <c r="K206" s="167"/>
      <c r="L206" s="170">
        <f>800+1740</f>
        <v>2540</v>
      </c>
      <c r="M206" s="167"/>
      <c r="N206" s="170">
        <v>0.0</v>
      </c>
      <c r="O206" s="171"/>
      <c r="P206" s="170">
        <f t="shared" si="8"/>
        <v>16711</v>
      </c>
      <c r="Q206" s="194"/>
      <c r="R206" s="151"/>
    </row>
    <row r="207" ht="24.0" customHeight="1">
      <c r="A207" s="176"/>
      <c r="B207" s="153"/>
      <c r="C207" s="153"/>
      <c r="D207" s="168"/>
      <c r="E207" s="169" t="s">
        <v>25</v>
      </c>
      <c r="F207" s="170">
        <v>0.0</v>
      </c>
      <c r="G207" s="167"/>
      <c r="H207" s="170">
        <v>0.0</v>
      </c>
      <c r="I207" s="167"/>
      <c r="J207" s="170">
        <v>0.0</v>
      </c>
      <c r="K207" s="167"/>
      <c r="L207" s="170">
        <v>0.0</v>
      </c>
      <c r="M207" s="167"/>
      <c r="N207" s="170">
        <v>0.0</v>
      </c>
      <c r="O207" s="171"/>
      <c r="P207" s="170">
        <f t="shared" si="8"/>
        <v>0</v>
      </c>
      <c r="Q207" s="194"/>
      <c r="R207" s="151"/>
    </row>
    <row r="208" ht="24.0" customHeight="1">
      <c r="A208" s="186"/>
      <c r="B208" s="151"/>
      <c r="C208" s="151"/>
      <c r="D208" s="168"/>
      <c r="E208" s="169" t="s">
        <v>26</v>
      </c>
      <c r="F208" s="170">
        <v>20000.0</v>
      </c>
      <c r="G208" s="167"/>
      <c r="H208" s="170">
        <v>0.0</v>
      </c>
      <c r="I208" s="167"/>
      <c r="J208" s="170">
        <v>0.0</v>
      </c>
      <c r="K208" s="167"/>
      <c r="L208" s="170">
        <v>20000.0</v>
      </c>
      <c r="M208" s="167"/>
      <c r="N208" s="170">
        <v>0.0</v>
      </c>
      <c r="O208" s="171"/>
      <c r="P208" s="170">
        <f t="shared" si="8"/>
        <v>40000</v>
      </c>
      <c r="Q208" s="194"/>
      <c r="R208" s="151"/>
    </row>
    <row r="209" ht="24.0" customHeight="1">
      <c r="A209" s="176"/>
      <c r="B209" s="153"/>
      <c r="C209" s="153"/>
      <c r="D209" s="168"/>
      <c r="E209" s="169" t="s">
        <v>56</v>
      </c>
      <c r="F209" s="170">
        <f>5700+6790</f>
        <v>12490</v>
      </c>
      <c r="G209" s="167"/>
      <c r="H209" s="170">
        <v>0.0</v>
      </c>
      <c r="I209" s="167"/>
      <c r="J209" s="170">
        <v>0.0</v>
      </c>
      <c r="K209" s="167"/>
      <c r="L209" s="170">
        <v>0.0</v>
      </c>
      <c r="M209" s="167"/>
      <c r="N209" s="170">
        <v>4995.0</v>
      </c>
      <c r="O209" s="171"/>
      <c r="P209" s="170">
        <f t="shared" si="8"/>
        <v>17485</v>
      </c>
      <c r="Q209" s="194"/>
      <c r="R209" s="151"/>
    </row>
    <row r="210" ht="24.0" customHeight="1">
      <c r="A210" s="176"/>
      <c r="B210" s="153"/>
      <c r="C210" s="153"/>
      <c r="D210" s="168"/>
      <c r="E210" s="169" t="s">
        <v>28</v>
      </c>
      <c r="F210" s="170">
        <v>0.0</v>
      </c>
      <c r="G210" s="167"/>
      <c r="H210" s="170">
        <v>0.0</v>
      </c>
      <c r="I210" s="167"/>
      <c r="J210" s="214">
        <f>19595+45062+8679+(23.9*384.92)+(66.8*382.34)+(47.72*382.65)+(68.14*382.61)+(39.39*382.33)</f>
        <v>167466.9821</v>
      </c>
      <c r="K210" s="167"/>
      <c r="L210" s="170">
        <v>0.0</v>
      </c>
      <c r="M210" s="167"/>
      <c r="N210" s="170">
        <v>0.0</v>
      </c>
      <c r="O210" s="171"/>
      <c r="P210" s="170">
        <f t="shared" si="8"/>
        <v>167466.9821</v>
      </c>
      <c r="Q210" s="194"/>
      <c r="R210" s="151"/>
    </row>
    <row r="211" ht="24.0" customHeight="1">
      <c r="A211" s="176"/>
      <c r="B211" s="153"/>
      <c r="C211" s="153"/>
      <c r="D211" s="168"/>
      <c r="E211" s="169" t="s">
        <v>29</v>
      </c>
      <c r="F211" s="170">
        <v>0.0</v>
      </c>
      <c r="G211" s="167"/>
      <c r="H211" s="170">
        <v>9500.0</v>
      </c>
      <c r="I211" s="167"/>
      <c r="J211" s="170">
        <v>0.0</v>
      </c>
      <c r="K211" s="167"/>
      <c r="L211" s="170">
        <v>0.0</v>
      </c>
      <c r="M211" s="167"/>
      <c r="N211" s="170">
        <f>3430+3410</f>
        <v>6840</v>
      </c>
      <c r="O211" s="171"/>
      <c r="P211" s="170">
        <f t="shared" si="8"/>
        <v>16340</v>
      </c>
      <c r="Q211" s="194"/>
      <c r="R211" s="151"/>
    </row>
    <row r="212" ht="24.0" customHeight="1">
      <c r="A212" s="186"/>
      <c r="B212" s="151"/>
      <c r="C212" s="151"/>
      <c r="D212" s="168"/>
      <c r="E212" s="169" t="s">
        <v>30</v>
      </c>
      <c r="F212" s="170">
        <v>4844.0</v>
      </c>
      <c r="G212" s="167"/>
      <c r="H212" s="170">
        <v>0.0</v>
      </c>
      <c r="I212" s="167"/>
      <c r="J212" s="170">
        <v>0.0</v>
      </c>
      <c r="K212" s="167"/>
      <c r="L212" s="170">
        <v>1830.0</v>
      </c>
      <c r="M212" s="167"/>
      <c r="N212" s="170">
        <v>0.0</v>
      </c>
      <c r="O212" s="171"/>
      <c r="P212" s="170">
        <f t="shared" si="8"/>
        <v>6674</v>
      </c>
      <c r="Q212" s="194"/>
      <c r="R212" s="151"/>
    </row>
    <row r="213" ht="24.0" customHeight="1">
      <c r="A213" s="176"/>
      <c r="B213" s="153"/>
      <c r="C213" s="153"/>
      <c r="D213" s="168"/>
      <c r="E213" s="169" t="s">
        <v>37</v>
      </c>
      <c r="F213" s="170">
        <v>0.0</v>
      </c>
      <c r="G213" s="167"/>
      <c r="H213" s="170">
        <v>0.0</v>
      </c>
      <c r="I213" s="167"/>
      <c r="J213" s="170">
        <v>0.0</v>
      </c>
      <c r="K213" s="167"/>
      <c r="L213" s="170">
        <v>0.0</v>
      </c>
      <c r="M213" s="167"/>
      <c r="N213" s="170">
        <v>0.0</v>
      </c>
      <c r="O213" s="171"/>
      <c r="P213" s="170">
        <f t="shared" si="8"/>
        <v>0</v>
      </c>
      <c r="Q213" s="194"/>
      <c r="R213" s="151"/>
    </row>
    <row r="214" ht="24.0" customHeight="1">
      <c r="A214" s="176"/>
      <c r="B214" s="153"/>
      <c r="C214" s="153"/>
      <c r="D214" s="168"/>
      <c r="E214" s="169" t="s">
        <v>58</v>
      </c>
      <c r="F214" s="170">
        <f>4087+1097</f>
        <v>5184</v>
      </c>
      <c r="G214" s="167"/>
      <c r="H214" s="170">
        <f>(7480+1890)+43890+1890+700</f>
        <v>55850</v>
      </c>
      <c r="I214" s="167"/>
      <c r="J214" s="170">
        <v>0.0</v>
      </c>
      <c r="K214" s="167"/>
      <c r="L214" s="170">
        <f>2500+2200</f>
        <v>4700</v>
      </c>
      <c r="M214" s="167"/>
      <c r="N214" s="170">
        <v>0.0</v>
      </c>
      <c r="O214" s="171"/>
      <c r="P214" s="170">
        <f t="shared" si="8"/>
        <v>65734</v>
      </c>
      <c r="Q214" s="194"/>
      <c r="R214" s="151"/>
    </row>
    <row r="215" ht="24.0" customHeight="1">
      <c r="A215" s="176"/>
      <c r="B215" s="153"/>
      <c r="C215" s="153"/>
      <c r="D215" s="177"/>
      <c r="E215" s="178" t="s">
        <v>33</v>
      </c>
      <c r="F215" s="170">
        <v>0.0</v>
      </c>
      <c r="G215" s="167"/>
      <c r="H215" s="170">
        <v>0.0</v>
      </c>
      <c r="I215" s="167"/>
      <c r="J215" s="170">
        <v>0.0</v>
      </c>
      <c r="K215" s="167"/>
      <c r="L215" s="170">
        <v>57327.0</v>
      </c>
      <c r="M215" s="167"/>
      <c r="N215" s="170">
        <v>15287.0</v>
      </c>
      <c r="O215" s="180"/>
      <c r="P215" s="170">
        <f t="shared" si="8"/>
        <v>72614</v>
      </c>
      <c r="Q215" s="197"/>
      <c r="R215" s="151"/>
    </row>
    <row r="216" ht="24.0" customHeight="1">
      <c r="A216" s="176"/>
      <c r="B216" s="153"/>
      <c r="C216" s="153"/>
      <c r="D216" s="181"/>
      <c r="E216" s="182" t="s">
        <v>34</v>
      </c>
      <c r="F216" s="181">
        <f>SUM(F217:F220)</f>
        <v>695812</v>
      </c>
      <c r="G216" s="183"/>
      <c r="H216" s="181">
        <f>SUM(H217:H220)</f>
        <v>0</v>
      </c>
      <c r="I216" s="183"/>
      <c r="J216" s="181">
        <f>SUM(J217:J220)</f>
        <v>0</v>
      </c>
      <c r="K216" s="183"/>
      <c r="L216" s="181">
        <f>SUM(L217:L220)</f>
        <v>193019</v>
      </c>
      <c r="M216" s="183"/>
      <c r="N216" s="181">
        <f>SUM(N217:N220)</f>
        <v>0</v>
      </c>
      <c r="O216" s="181"/>
      <c r="P216" s="166">
        <f t="shared" si="8"/>
        <v>888831</v>
      </c>
      <c r="Q216" s="181"/>
      <c r="R216" s="151"/>
    </row>
    <row r="217" ht="24.0" customHeight="1">
      <c r="A217" s="176"/>
      <c r="B217" s="153"/>
      <c r="C217" s="153"/>
      <c r="D217" s="184"/>
      <c r="E217" s="169" t="s">
        <v>35</v>
      </c>
      <c r="F217" s="170">
        <v>672000.0</v>
      </c>
      <c r="G217" s="167"/>
      <c r="H217" s="170">
        <v>0.0</v>
      </c>
      <c r="I217" s="167"/>
      <c r="J217" s="170">
        <v>0.0</v>
      </c>
      <c r="K217" s="167"/>
      <c r="L217" s="170">
        <v>0.0</v>
      </c>
      <c r="M217" s="167"/>
      <c r="N217" s="170">
        <v>0.0</v>
      </c>
      <c r="O217" s="171"/>
      <c r="P217" s="170">
        <f t="shared" si="8"/>
        <v>672000</v>
      </c>
      <c r="Q217" s="194"/>
      <c r="R217" s="151"/>
    </row>
    <row r="218" ht="24.0" customHeight="1">
      <c r="A218" s="176"/>
      <c r="B218" s="153"/>
      <c r="C218" s="153"/>
      <c r="D218" s="184"/>
      <c r="E218" s="169" t="s">
        <v>36</v>
      </c>
      <c r="F218" s="170">
        <v>23812.0</v>
      </c>
      <c r="G218" s="167"/>
      <c r="H218" s="170"/>
      <c r="I218" s="170">
        <v>0.0</v>
      </c>
      <c r="J218" s="170"/>
      <c r="K218" s="170">
        <v>0.0</v>
      </c>
      <c r="L218" s="170"/>
      <c r="M218" s="170">
        <v>0.0</v>
      </c>
      <c r="N218" s="170">
        <v>0.0</v>
      </c>
      <c r="O218" s="171"/>
      <c r="P218" s="170">
        <f t="shared" si="8"/>
        <v>23812</v>
      </c>
      <c r="Q218" s="194"/>
      <c r="R218" s="151"/>
    </row>
    <row r="219" ht="24.0" customHeight="1">
      <c r="A219" s="186"/>
      <c r="B219" s="151"/>
      <c r="C219" s="151"/>
      <c r="D219" s="184"/>
      <c r="E219" s="169" t="s">
        <v>37</v>
      </c>
      <c r="F219" s="170">
        <v>0.0</v>
      </c>
      <c r="G219" s="167"/>
      <c r="H219" s="170">
        <v>0.0</v>
      </c>
      <c r="I219" s="167"/>
      <c r="J219" s="170">
        <v>0.0</v>
      </c>
      <c r="K219" s="167"/>
      <c r="L219" s="170">
        <v>0.0</v>
      </c>
      <c r="M219" s="167"/>
      <c r="N219" s="170">
        <v>0.0</v>
      </c>
      <c r="O219" s="171"/>
      <c r="P219" s="170">
        <f t="shared" si="8"/>
        <v>0</v>
      </c>
      <c r="Q219" s="194"/>
      <c r="R219" s="151"/>
    </row>
    <row r="220" ht="24.0" customHeight="1">
      <c r="A220" s="186"/>
      <c r="B220" s="151"/>
      <c r="C220" s="151"/>
      <c r="D220" s="184"/>
      <c r="E220" s="169" t="s">
        <v>33</v>
      </c>
      <c r="F220" s="170">
        <v>0.0</v>
      </c>
      <c r="G220" s="167"/>
      <c r="H220" s="170">
        <v>0.0</v>
      </c>
      <c r="I220" s="167"/>
      <c r="J220" s="170">
        <v>0.0</v>
      </c>
      <c r="K220" s="167"/>
      <c r="L220" s="170">
        <v>193019.0</v>
      </c>
      <c r="M220" s="167"/>
      <c r="N220" s="170">
        <v>0.0</v>
      </c>
      <c r="O220" s="171"/>
      <c r="P220" s="170">
        <f t="shared" si="8"/>
        <v>193019</v>
      </c>
      <c r="Q220" s="194"/>
      <c r="R220" s="151"/>
    </row>
    <row r="221" ht="24.0" customHeight="1">
      <c r="A221" s="153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</row>
    <row r="222">
      <c r="A222" s="211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</row>
    <row r="223">
      <c r="A223" s="153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</row>
    <row r="224">
      <c r="A224" s="153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</row>
    <row r="225">
      <c r="A225" s="153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</row>
    <row r="226">
      <c r="A226" s="176"/>
      <c r="B226" s="153"/>
      <c r="C226" s="153"/>
      <c r="D226" s="131"/>
      <c r="E226" s="131"/>
      <c r="F226" s="131"/>
      <c r="G226" s="132"/>
      <c r="H226" s="132"/>
      <c r="I226" s="133">
        <f>(I227/D227)</f>
        <v>1.317236552</v>
      </c>
      <c r="K226" s="132"/>
      <c r="L226" s="135"/>
      <c r="M226" s="136">
        <f>(1 - I226)</f>
        <v>-0.3172365524</v>
      </c>
      <c r="N226" s="137"/>
      <c r="O226" s="137"/>
      <c r="P226" s="132"/>
      <c r="Q226" s="132"/>
      <c r="R226" s="151"/>
    </row>
    <row r="227">
      <c r="A227" s="176"/>
      <c r="B227" s="153"/>
      <c r="C227" s="153"/>
      <c r="D227" s="140">
        <f>P247</f>
        <v>695812</v>
      </c>
      <c r="E227" s="141"/>
      <c r="F227" s="141"/>
      <c r="G227" s="132"/>
      <c r="I227" s="134">
        <f>P232</f>
        <v>916549</v>
      </c>
      <c r="K227" s="132"/>
      <c r="L227" s="135">
        <f>D227-I227</f>
        <v>-220737</v>
      </c>
      <c r="N227" s="137">
        <v>0.0</v>
      </c>
      <c r="P227" s="132"/>
      <c r="Q227" s="132"/>
      <c r="R227" s="151"/>
    </row>
    <row r="228">
      <c r="A228" s="176"/>
      <c r="B228" s="153"/>
      <c r="C228" s="153"/>
      <c r="D228" s="191" t="s">
        <v>1</v>
      </c>
      <c r="E228" s="18"/>
      <c r="F228" s="18"/>
      <c r="G228" s="18"/>
      <c r="H228" s="18"/>
      <c r="I228" s="191" t="s">
        <v>2</v>
      </c>
      <c r="J228" s="18"/>
      <c r="K228" s="18"/>
      <c r="L228" s="191" t="s">
        <v>3</v>
      </c>
      <c r="M228" s="18"/>
      <c r="N228" s="192" t="s">
        <v>14</v>
      </c>
      <c r="O228" s="18"/>
      <c r="P228" s="18"/>
      <c r="Q228" s="18"/>
      <c r="R228" s="151"/>
    </row>
    <row r="229">
      <c r="A229" s="151"/>
      <c r="B229" s="151"/>
      <c r="C229" s="151"/>
      <c r="D229" s="151"/>
      <c r="E229" s="151"/>
      <c r="F229" s="15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</row>
    <row r="230">
      <c r="A230" s="152"/>
      <c r="B230" s="152"/>
      <c r="C230" s="151"/>
      <c r="D230" s="193" t="s">
        <v>60</v>
      </c>
      <c r="E230" s="139"/>
      <c r="F230" s="139"/>
      <c r="G230" s="139"/>
      <c r="H230" s="139"/>
      <c r="I230" s="139"/>
      <c r="J230" s="139"/>
      <c r="K230" s="139"/>
      <c r="L230" s="139"/>
      <c r="M230" s="139"/>
      <c r="N230" s="139"/>
      <c r="O230" s="139"/>
      <c r="P230" s="139"/>
      <c r="Q230" s="139"/>
      <c r="R230" s="151"/>
    </row>
    <row r="231" ht="24.0" customHeight="1">
      <c r="A231" s="155" t="s">
        <v>40</v>
      </c>
      <c r="B231" s="156" t="s">
        <v>41</v>
      </c>
      <c r="C231" s="151"/>
      <c r="D231" s="157"/>
      <c r="E231" s="158" t="s">
        <v>6</v>
      </c>
      <c r="F231" s="159" t="s">
        <v>15</v>
      </c>
      <c r="G231" s="160"/>
      <c r="H231" s="159" t="s">
        <v>16</v>
      </c>
      <c r="I231" s="160"/>
      <c r="J231" s="159" t="s">
        <v>17</v>
      </c>
      <c r="K231" s="160"/>
      <c r="L231" s="159" t="s">
        <v>18</v>
      </c>
      <c r="M231" s="160"/>
      <c r="N231" s="159" t="s">
        <v>19</v>
      </c>
      <c r="O231" s="157"/>
      <c r="P231" s="159" t="s">
        <v>12</v>
      </c>
      <c r="Q231" s="157"/>
      <c r="R231" s="151"/>
    </row>
    <row r="232" ht="24.0" customHeight="1">
      <c r="A232" s="162" t="s">
        <v>42</v>
      </c>
      <c r="B232" s="163">
        <v>44932.0</v>
      </c>
      <c r="C232" s="153"/>
      <c r="D232" s="164"/>
      <c r="E232" s="165" t="s">
        <v>13</v>
      </c>
      <c r="F232" s="166">
        <f>SUM(F233:F246)</f>
        <v>688232</v>
      </c>
      <c r="G232" s="167"/>
      <c r="H232" s="166">
        <f>SUM(H233:H246)</f>
        <v>135405</v>
      </c>
      <c r="I232" s="167"/>
      <c r="J232" s="166">
        <f>SUM(J233:J246)</f>
        <v>55635</v>
      </c>
      <c r="K232" s="167"/>
      <c r="L232" s="166">
        <f>SUM(L233:L246)</f>
        <v>28447</v>
      </c>
      <c r="M232" s="167"/>
      <c r="N232" s="166">
        <f>SUM(N233:N246)</f>
        <v>8830</v>
      </c>
      <c r="O232" s="166"/>
      <c r="P232" s="166">
        <f t="shared" ref="P232:P251" si="9">SUM(F232:O232)</f>
        <v>916549</v>
      </c>
      <c r="Q232" s="166"/>
      <c r="R232" s="151"/>
    </row>
    <row r="233" ht="24.0" customHeight="1">
      <c r="A233" s="162" t="s">
        <v>43</v>
      </c>
      <c r="B233" s="163">
        <v>45120.0</v>
      </c>
      <c r="C233" s="153"/>
      <c r="D233" s="168"/>
      <c r="E233" s="169" t="s">
        <v>20</v>
      </c>
      <c r="F233" s="170">
        <f>170000+340000</f>
        <v>510000</v>
      </c>
      <c r="G233" s="167"/>
      <c r="H233" s="170">
        <v>0.0</v>
      </c>
      <c r="I233" s="167"/>
      <c r="J233" s="170">
        <v>2007.0</v>
      </c>
      <c r="K233" s="167"/>
      <c r="L233" s="170">
        <v>0.0</v>
      </c>
      <c r="M233" s="167"/>
      <c r="N233" s="170">
        <v>0.0</v>
      </c>
      <c r="O233" s="171"/>
      <c r="P233" s="170">
        <f t="shared" si="9"/>
        <v>512007</v>
      </c>
      <c r="Q233" s="194"/>
      <c r="R233" s="151"/>
    </row>
    <row r="234" ht="24.0" customHeight="1">
      <c r="A234" s="162" t="s">
        <v>44</v>
      </c>
      <c r="B234" s="172" t="s">
        <v>45</v>
      </c>
      <c r="C234" s="153"/>
      <c r="D234" s="168"/>
      <c r="E234" s="169" t="s">
        <v>53</v>
      </c>
      <c r="F234" s="170">
        <f>4481+643+904+429+399+688+1077</f>
        <v>8621</v>
      </c>
      <c r="G234" s="167"/>
      <c r="H234" s="170">
        <f>2661+375+557+(16945-2098)+(9769-399-549-499+429-629-499-259)+1839+11434</f>
        <v>39077</v>
      </c>
      <c r="I234" s="167"/>
      <c r="J234" s="170">
        <f>997+239+5047+508+5318+1464</f>
        <v>13573</v>
      </c>
      <c r="K234" s="167"/>
      <c r="L234" s="170">
        <f>700+2442+1768+6969+745</f>
        <v>12624</v>
      </c>
      <c r="M234" s="167"/>
      <c r="N234" s="170">
        <f>715+1199+1796</f>
        <v>3710</v>
      </c>
      <c r="O234" s="171"/>
      <c r="P234" s="170">
        <f t="shared" si="9"/>
        <v>77605</v>
      </c>
      <c r="Q234" s="194"/>
      <c r="R234" s="151"/>
    </row>
    <row r="235" ht="24.0" customHeight="1">
      <c r="A235" s="162" t="s">
        <v>46</v>
      </c>
      <c r="B235" s="172" t="s">
        <v>47</v>
      </c>
      <c r="C235" s="151"/>
      <c r="D235" s="168"/>
      <c r="E235" s="173" t="s">
        <v>22</v>
      </c>
      <c r="F235" s="170">
        <v>0.0</v>
      </c>
      <c r="G235" s="167"/>
      <c r="H235" s="170">
        <f>2098+49695+1790+289+1000</f>
        <v>54872</v>
      </c>
      <c r="I235" s="167"/>
      <c r="J235" s="170">
        <f>15990+2150</f>
        <v>18140</v>
      </c>
      <c r="K235" s="167"/>
      <c r="L235" s="170">
        <f>2000+8995+1948</f>
        <v>12943</v>
      </c>
      <c r="M235" s="167"/>
      <c r="N235" s="170">
        <v>0.0</v>
      </c>
      <c r="O235" s="171"/>
      <c r="P235" s="170">
        <f t="shared" si="9"/>
        <v>85955</v>
      </c>
      <c r="Q235" s="194"/>
      <c r="R235" s="151"/>
    </row>
    <row r="236" ht="24.0" customHeight="1">
      <c r="A236" s="174" t="s">
        <v>48</v>
      </c>
      <c r="B236" s="175" t="s">
        <v>49</v>
      </c>
      <c r="C236" s="153"/>
      <c r="D236" s="168"/>
      <c r="E236" s="173" t="s">
        <v>23</v>
      </c>
      <c r="F236" s="170">
        <f>4180+700+2800+1090+2590</f>
        <v>11360</v>
      </c>
      <c r="G236" s="167"/>
      <c r="H236" s="170">
        <v>2687.0</v>
      </c>
      <c r="I236" s="167"/>
      <c r="J236" s="170">
        <f>16215+700</f>
        <v>16915</v>
      </c>
      <c r="K236" s="167"/>
      <c r="L236" s="170">
        <f>700+ 2180</f>
        <v>2880</v>
      </c>
      <c r="M236" s="167"/>
      <c r="N236" s="170">
        <v>0.0</v>
      </c>
      <c r="O236" s="171"/>
      <c r="P236" s="170">
        <f t="shared" si="9"/>
        <v>33842</v>
      </c>
      <c r="Q236" s="194"/>
      <c r="R236" s="151"/>
    </row>
    <row r="237" ht="24.0" customHeight="1">
      <c r="A237" s="176"/>
      <c r="B237" s="153"/>
      <c r="C237" s="153"/>
      <c r="D237" s="168"/>
      <c r="E237" s="169" t="s">
        <v>24</v>
      </c>
      <c r="F237" s="170">
        <f>990</f>
        <v>990</v>
      </c>
      <c r="G237" s="167"/>
      <c r="H237" s="170">
        <f>1290+1590+1790</f>
        <v>4670</v>
      </c>
      <c r="I237" s="167"/>
      <c r="J237" s="170">
        <v>0.0</v>
      </c>
      <c r="K237" s="167"/>
      <c r="L237" s="170">
        <v>0.0</v>
      </c>
      <c r="M237" s="167"/>
      <c r="N237" s="170">
        <v>0.0</v>
      </c>
      <c r="O237" s="171"/>
      <c r="P237" s="170">
        <f t="shared" si="9"/>
        <v>5660</v>
      </c>
      <c r="Q237" s="194"/>
      <c r="R237" s="151"/>
    </row>
    <row r="238" ht="24.0" customHeight="1">
      <c r="A238" s="176"/>
      <c r="B238" s="153"/>
      <c r="C238" s="153"/>
      <c r="D238" s="168"/>
      <c r="E238" s="169" t="s">
        <v>25</v>
      </c>
      <c r="F238" s="170">
        <v>0.0</v>
      </c>
      <c r="G238" s="167"/>
      <c r="H238" s="170">
        <v>0.0</v>
      </c>
      <c r="I238" s="167"/>
      <c r="J238" s="170">
        <v>0.0</v>
      </c>
      <c r="K238" s="167"/>
      <c r="L238" s="170">
        <v>0.0</v>
      </c>
      <c r="M238" s="167"/>
      <c r="N238" s="170">
        <v>0.0</v>
      </c>
      <c r="O238" s="171"/>
      <c r="P238" s="170">
        <f t="shared" si="9"/>
        <v>0</v>
      </c>
      <c r="Q238" s="194"/>
      <c r="R238" s="151"/>
    </row>
    <row r="239" ht="24.0" customHeight="1">
      <c r="A239" s="186"/>
      <c r="B239" s="151"/>
      <c r="C239" s="151"/>
      <c r="D239" s="168"/>
      <c r="E239" s="169" t="s">
        <v>26</v>
      </c>
      <c r="F239" s="170">
        <v>0.0</v>
      </c>
      <c r="G239" s="167"/>
      <c r="H239" s="170">
        <v>20000.0</v>
      </c>
      <c r="I239" s="167"/>
      <c r="J239" s="170">
        <v>0.0</v>
      </c>
      <c r="K239" s="167"/>
      <c r="L239" s="170">
        <v>0.0</v>
      </c>
      <c r="M239" s="167"/>
      <c r="N239" s="170">
        <v>0.0</v>
      </c>
      <c r="O239" s="171"/>
      <c r="P239" s="170">
        <f t="shared" si="9"/>
        <v>20000</v>
      </c>
      <c r="Q239" s="194"/>
      <c r="R239" s="151"/>
    </row>
    <row r="240" ht="24.0" customHeight="1">
      <c r="A240" s="176"/>
      <c r="B240" s="153"/>
      <c r="C240" s="153"/>
      <c r="D240" s="168"/>
      <c r="E240" s="169" t="s">
        <v>56</v>
      </c>
      <c r="F240" s="170">
        <v>5000.0</v>
      </c>
      <c r="G240" s="167"/>
      <c r="H240" s="170">
        <v>0.0</v>
      </c>
      <c r="I240" s="167"/>
      <c r="J240" s="170">
        <v>5000.0</v>
      </c>
      <c r="K240" s="167"/>
      <c r="L240" s="170">
        <v>0.0</v>
      </c>
      <c r="M240" s="167"/>
      <c r="N240" s="170">
        <v>5000.0</v>
      </c>
      <c r="O240" s="171"/>
      <c r="P240" s="170">
        <f t="shared" si="9"/>
        <v>15000</v>
      </c>
      <c r="Q240" s="194"/>
      <c r="R240" s="151"/>
    </row>
    <row r="241" ht="24.0" customHeight="1">
      <c r="A241" s="176"/>
      <c r="B241" s="153"/>
      <c r="C241" s="153"/>
      <c r="D241" s="168"/>
      <c r="E241" s="169" t="s">
        <v>28</v>
      </c>
      <c r="F241" s="170">
        <v>0.0</v>
      </c>
      <c r="G241" s="167"/>
      <c r="H241" s="170">
        <v>0.0</v>
      </c>
      <c r="I241" s="167"/>
      <c r="J241" s="170">
        <v>0.0</v>
      </c>
      <c r="K241" s="167"/>
      <c r="L241" s="170">
        <v>0.0</v>
      </c>
      <c r="M241" s="167"/>
      <c r="N241" s="170">
        <v>0.0</v>
      </c>
      <c r="O241" s="171"/>
      <c r="P241" s="170">
        <f t="shared" si="9"/>
        <v>0</v>
      </c>
      <c r="Q241" s="194"/>
      <c r="R241" s="151"/>
    </row>
    <row r="242" ht="24.0" customHeight="1">
      <c r="A242" s="176"/>
      <c r="B242" s="153"/>
      <c r="C242" s="153"/>
      <c r="D242" s="168"/>
      <c r="E242" s="169" t="s">
        <v>29</v>
      </c>
      <c r="F242" s="170">
        <v>1000.0</v>
      </c>
      <c r="G242" s="167"/>
      <c r="H242" s="170">
        <f>4000+9500</f>
        <v>13500</v>
      </c>
      <c r="I242" s="167"/>
      <c r="J242" s="170">
        <v>0.0</v>
      </c>
      <c r="K242" s="167"/>
      <c r="L242" s="170">
        <v>0.0</v>
      </c>
      <c r="M242" s="167"/>
      <c r="N242" s="170">
        <v>120.0</v>
      </c>
      <c r="O242" s="171"/>
      <c r="P242" s="170">
        <f t="shared" si="9"/>
        <v>14620</v>
      </c>
      <c r="Q242" s="194"/>
      <c r="R242" s="151"/>
    </row>
    <row r="243" ht="24.0" customHeight="1">
      <c r="A243" s="186"/>
      <c r="B243" s="151"/>
      <c r="C243" s="151"/>
      <c r="D243" s="168"/>
      <c r="E243" s="169" t="s">
        <v>30</v>
      </c>
      <c r="F243" s="170">
        <v>4844.0</v>
      </c>
      <c r="G243" s="167"/>
      <c r="H243" s="170">
        <v>599.0</v>
      </c>
      <c r="I243" s="167"/>
      <c r="J243" s="170">
        <v>0.0</v>
      </c>
      <c r="K243" s="167"/>
      <c r="L243" s="170">
        <v>0.0</v>
      </c>
      <c r="M243" s="167"/>
      <c r="N243" s="170">
        <v>0.0</v>
      </c>
      <c r="O243" s="171"/>
      <c r="P243" s="170">
        <f t="shared" si="9"/>
        <v>5443</v>
      </c>
      <c r="Q243" s="194"/>
      <c r="R243" s="151"/>
    </row>
    <row r="244" ht="24.0" customHeight="1">
      <c r="A244" s="176"/>
      <c r="B244" s="153"/>
      <c r="C244" s="153"/>
      <c r="D244" s="168"/>
      <c r="E244" s="169" t="s">
        <v>37</v>
      </c>
      <c r="F244" s="170">
        <v>0.0</v>
      </c>
      <c r="G244" s="167"/>
      <c r="H244" s="170">
        <v>0.0</v>
      </c>
      <c r="I244" s="167"/>
      <c r="J244" s="170">
        <v>0.0</v>
      </c>
      <c r="K244" s="167"/>
      <c r="L244" s="170">
        <v>0.0</v>
      </c>
      <c r="M244" s="167"/>
      <c r="N244" s="170">
        <v>0.0</v>
      </c>
      <c r="O244" s="171"/>
      <c r="P244" s="170">
        <f t="shared" si="9"/>
        <v>0</v>
      </c>
      <c r="Q244" s="194"/>
      <c r="R244" s="151"/>
    </row>
    <row r="245" ht="24.0" customHeight="1">
      <c r="A245" s="176"/>
      <c r="B245" s="153"/>
      <c r="C245" s="153"/>
      <c r="D245" s="168"/>
      <c r="E245" s="169" t="s">
        <v>58</v>
      </c>
      <c r="F245" s="170">
        <f>1940+2000+616+1000</f>
        <v>5556</v>
      </c>
      <c r="G245" s="167"/>
      <c r="H245" s="170">
        <v>0.0</v>
      </c>
      <c r="I245" s="167"/>
      <c r="J245" s="170">
        <v>0.0</v>
      </c>
      <c r="K245" s="167"/>
      <c r="L245" s="170">
        <v>0.0</v>
      </c>
      <c r="M245" s="167"/>
      <c r="N245" s="170">
        <v>0.0</v>
      </c>
      <c r="O245" s="171"/>
      <c r="P245" s="170">
        <f t="shared" si="9"/>
        <v>5556</v>
      </c>
      <c r="Q245" s="194"/>
      <c r="R245" s="151"/>
    </row>
    <row r="246" ht="24.0" customHeight="1">
      <c r="A246" s="176"/>
      <c r="B246" s="153"/>
      <c r="C246" s="153"/>
      <c r="D246" s="177"/>
      <c r="E246" s="178" t="s">
        <v>33</v>
      </c>
      <c r="F246" s="170">
        <f>39568+39566+39568+22159</f>
        <v>140861</v>
      </c>
      <c r="G246" s="167"/>
      <c r="H246" s="170">
        <v>0.0</v>
      </c>
      <c r="I246" s="167"/>
      <c r="J246" s="170">
        <v>0.0</v>
      </c>
      <c r="K246" s="167"/>
      <c r="L246" s="170">
        <v>0.0</v>
      </c>
      <c r="M246" s="167"/>
      <c r="N246" s="170">
        <v>0.0</v>
      </c>
      <c r="O246" s="180"/>
      <c r="P246" s="170">
        <f t="shared" si="9"/>
        <v>140861</v>
      </c>
      <c r="Q246" s="197"/>
      <c r="R246" s="151"/>
    </row>
    <row r="247" ht="24.0" customHeight="1">
      <c r="A247" s="176"/>
      <c r="B247" s="153"/>
      <c r="C247" s="153"/>
      <c r="D247" s="181"/>
      <c r="E247" s="182" t="s">
        <v>34</v>
      </c>
      <c r="F247" s="181">
        <f>SUM(F248:F251)</f>
        <v>695812</v>
      </c>
      <c r="G247" s="183"/>
      <c r="H247" s="181">
        <f>SUM(H248:H251)</f>
        <v>0</v>
      </c>
      <c r="I247" s="183"/>
      <c r="J247" s="181">
        <f>SUM(J248:J251)</f>
        <v>0</v>
      </c>
      <c r="K247" s="183"/>
      <c r="L247" s="181">
        <f>SUM(L248:L251)</f>
        <v>0</v>
      </c>
      <c r="M247" s="183"/>
      <c r="N247" s="181">
        <f>SUM(N248:N251)</f>
        <v>0</v>
      </c>
      <c r="O247" s="181"/>
      <c r="P247" s="166">
        <f t="shared" si="9"/>
        <v>695812</v>
      </c>
      <c r="Q247" s="181"/>
      <c r="R247" s="151"/>
    </row>
    <row r="248" ht="24.0" customHeight="1">
      <c r="A248" s="176"/>
      <c r="B248" s="153"/>
      <c r="C248" s="153"/>
      <c r="D248" s="184"/>
      <c r="E248" s="169" t="s">
        <v>35</v>
      </c>
      <c r="F248" s="170">
        <v>672000.0</v>
      </c>
      <c r="G248" s="167"/>
      <c r="H248" s="170">
        <v>0.0</v>
      </c>
      <c r="I248" s="167"/>
      <c r="J248" s="170">
        <v>0.0</v>
      </c>
      <c r="K248" s="167"/>
      <c r="L248" s="170">
        <v>0.0</v>
      </c>
      <c r="M248" s="167"/>
      <c r="N248" s="170">
        <v>0.0</v>
      </c>
      <c r="O248" s="171"/>
      <c r="P248" s="170">
        <f t="shared" si="9"/>
        <v>672000</v>
      </c>
      <c r="Q248" s="194"/>
      <c r="R248" s="151"/>
    </row>
    <row r="249" ht="24.0" customHeight="1">
      <c r="A249" s="176"/>
      <c r="B249" s="153"/>
      <c r="C249" s="153"/>
      <c r="D249" s="184"/>
      <c r="E249" s="169" t="s">
        <v>36</v>
      </c>
      <c r="F249" s="170">
        <v>23812.0</v>
      </c>
      <c r="G249" s="167"/>
      <c r="H249" s="170"/>
      <c r="I249" s="170">
        <v>0.0</v>
      </c>
      <c r="J249" s="170"/>
      <c r="K249" s="170">
        <v>0.0</v>
      </c>
      <c r="L249" s="170"/>
      <c r="M249" s="170">
        <v>0.0</v>
      </c>
      <c r="N249" s="170">
        <v>0.0</v>
      </c>
      <c r="O249" s="171"/>
      <c r="P249" s="170">
        <f t="shared" si="9"/>
        <v>23812</v>
      </c>
      <c r="Q249" s="194"/>
      <c r="R249" s="151"/>
    </row>
    <row r="250" ht="24.0" customHeight="1">
      <c r="A250" s="186"/>
      <c r="B250" s="151"/>
      <c r="C250" s="151"/>
      <c r="D250" s="184"/>
      <c r="E250" s="169" t="s">
        <v>37</v>
      </c>
      <c r="F250" s="170">
        <v>0.0</v>
      </c>
      <c r="G250" s="167"/>
      <c r="H250" s="170">
        <v>0.0</v>
      </c>
      <c r="I250" s="167"/>
      <c r="J250" s="170">
        <v>0.0</v>
      </c>
      <c r="K250" s="167"/>
      <c r="L250" s="170">
        <v>0.0</v>
      </c>
      <c r="M250" s="167"/>
      <c r="N250" s="170">
        <v>0.0</v>
      </c>
      <c r="O250" s="171"/>
      <c r="P250" s="170">
        <f t="shared" si="9"/>
        <v>0</v>
      </c>
      <c r="Q250" s="194"/>
      <c r="R250" s="151"/>
    </row>
    <row r="251" ht="24.0" customHeight="1">
      <c r="A251" s="186"/>
      <c r="B251" s="151"/>
      <c r="C251" s="151"/>
      <c r="D251" s="184"/>
      <c r="E251" s="169" t="s">
        <v>33</v>
      </c>
      <c r="F251" s="170">
        <v>0.0</v>
      </c>
      <c r="G251" s="167"/>
      <c r="H251" s="170">
        <v>0.0</v>
      </c>
      <c r="I251" s="167"/>
      <c r="J251" s="170">
        <v>0.0</v>
      </c>
      <c r="K251" s="167"/>
      <c r="L251" s="170">
        <v>0.0</v>
      </c>
      <c r="M251" s="167"/>
      <c r="N251" s="170">
        <v>0.0</v>
      </c>
      <c r="O251" s="171"/>
      <c r="P251" s="170">
        <f t="shared" si="9"/>
        <v>0</v>
      </c>
      <c r="Q251" s="194"/>
      <c r="R251" s="151"/>
    </row>
    <row r="252">
      <c r="A252" s="153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</row>
    <row r="253">
      <c r="A253" s="211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211"/>
      <c r="R253" s="211"/>
      <c r="S253" s="151"/>
      <c r="T253" s="151"/>
      <c r="U253" s="151"/>
      <c r="V253" s="151"/>
      <c r="W253" s="151"/>
      <c r="X253" s="151"/>
      <c r="Y253" s="151"/>
      <c r="Z253" s="151"/>
      <c r="AA253" s="151"/>
      <c r="AB253" s="151"/>
      <c r="AC253" s="151"/>
      <c r="AD253" s="151"/>
      <c r="AE253" s="151"/>
      <c r="AF253" s="151"/>
      <c r="AG253" s="151"/>
      <c r="AH253" s="151"/>
      <c r="AI253" s="151"/>
      <c r="AJ253" s="151"/>
      <c r="AK253" s="151"/>
      <c r="AL253" s="151"/>
      <c r="AM253" s="151"/>
      <c r="AN253" s="151"/>
      <c r="AO253" s="151"/>
      <c r="AP253" s="151"/>
      <c r="AQ253" s="151"/>
      <c r="AR253" s="151"/>
    </row>
    <row r="254">
      <c r="A254" s="153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1"/>
      <c r="T254" s="151"/>
      <c r="U254" s="151"/>
      <c r="V254" s="151"/>
      <c r="W254" s="151"/>
      <c r="X254" s="151"/>
      <c r="Y254" s="151"/>
      <c r="Z254" s="151"/>
      <c r="AA254" s="151"/>
      <c r="AB254" s="151"/>
      <c r="AC254" s="151"/>
      <c r="AD254" s="151"/>
      <c r="AE254" s="151"/>
      <c r="AF254" s="151"/>
      <c r="AG254" s="151"/>
      <c r="AH254" s="151"/>
      <c r="AI254" s="151"/>
      <c r="AJ254" s="151"/>
      <c r="AK254" s="151"/>
      <c r="AL254" s="151"/>
      <c r="AM254" s="151"/>
      <c r="AN254" s="151"/>
      <c r="AO254" s="151"/>
      <c r="AP254" s="151"/>
      <c r="AQ254" s="151"/>
      <c r="AR254" s="151"/>
    </row>
    <row r="255">
      <c r="A255" s="153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1"/>
      <c r="T255" s="151"/>
      <c r="U255" s="151"/>
      <c r="V255" s="151"/>
      <c r="W255" s="151"/>
      <c r="X255" s="151"/>
      <c r="Y255" s="151"/>
      <c r="Z255" s="151"/>
      <c r="AA255" s="151"/>
      <c r="AB255" s="151"/>
      <c r="AC255" s="151"/>
      <c r="AD255" s="151"/>
      <c r="AE255" s="151"/>
      <c r="AF255" s="151"/>
      <c r="AG255" s="151"/>
      <c r="AH255" s="151"/>
      <c r="AI255" s="151"/>
      <c r="AJ255" s="151"/>
      <c r="AK255" s="151"/>
      <c r="AL255" s="151"/>
      <c r="AM255" s="151"/>
      <c r="AN255" s="151"/>
      <c r="AO255" s="151"/>
      <c r="AP255" s="151"/>
      <c r="AQ255" s="151"/>
      <c r="AR255" s="151"/>
    </row>
    <row r="256" ht="24.0" customHeight="1">
      <c r="A256" s="153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1"/>
      <c r="T256" s="151"/>
      <c r="U256" s="151"/>
      <c r="V256" s="151"/>
      <c r="W256" s="151"/>
      <c r="X256" s="151"/>
      <c r="Y256" s="151"/>
      <c r="Z256" s="151"/>
      <c r="AA256" s="151"/>
      <c r="AB256" s="151"/>
      <c r="AC256" s="151"/>
      <c r="AD256" s="151"/>
      <c r="AE256" s="151"/>
      <c r="AF256" s="151"/>
      <c r="AG256" s="151"/>
      <c r="AH256" s="151"/>
      <c r="AI256" s="151"/>
      <c r="AJ256" s="151"/>
      <c r="AK256" s="151"/>
      <c r="AL256" s="151"/>
      <c r="AM256" s="151"/>
      <c r="AN256" s="151"/>
      <c r="AO256" s="151"/>
      <c r="AP256" s="151"/>
      <c r="AQ256" s="151"/>
      <c r="AR256" s="151"/>
    </row>
    <row r="257" ht="24.0" customHeight="1">
      <c r="A257" s="176"/>
      <c r="B257" s="153"/>
      <c r="C257" s="153"/>
      <c r="D257" s="131"/>
      <c r="E257" s="131"/>
      <c r="F257" s="131"/>
      <c r="G257" s="132"/>
      <c r="H257" s="132"/>
      <c r="I257" s="133">
        <f>(I258/D258)</f>
        <v>0.9272620687</v>
      </c>
      <c r="K257" s="132"/>
      <c r="L257" s="135"/>
      <c r="M257" s="136">
        <f>(1 - I257)</f>
        <v>0.07273793133</v>
      </c>
      <c r="N257" s="137"/>
      <c r="O257" s="137"/>
      <c r="P257" s="132"/>
      <c r="Q257" s="132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  <c r="AB257" s="151"/>
      <c r="AC257" s="151"/>
      <c r="AD257" s="151"/>
      <c r="AE257" s="151"/>
      <c r="AF257" s="151"/>
      <c r="AG257" s="151"/>
      <c r="AH257" s="151"/>
      <c r="AI257" s="151"/>
      <c r="AJ257" s="151"/>
      <c r="AK257" s="151"/>
      <c r="AL257" s="151"/>
      <c r="AM257" s="151"/>
      <c r="AN257" s="151"/>
      <c r="AO257" s="151"/>
      <c r="AP257" s="151"/>
      <c r="AQ257" s="151"/>
      <c r="AR257" s="151"/>
    </row>
    <row r="258" ht="24.0" customHeight="1">
      <c r="A258" s="176"/>
      <c r="B258" s="153"/>
      <c r="C258" s="153"/>
      <c r="D258" s="140">
        <f>P278</f>
        <v>992881</v>
      </c>
      <c r="E258" s="141"/>
      <c r="F258" s="141"/>
      <c r="G258" s="132"/>
      <c r="I258" s="134">
        <f>P263</f>
        <v>920660.89</v>
      </c>
      <c r="K258" s="132"/>
      <c r="L258" s="135">
        <f>D258-I258</f>
        <v>72220.11</v>
      </c>
      <c r="N258" s="137">
        <v>0.0</v>
      </c>
      <c r="P258" s="218">
        <v>45246.0</v>
      </c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  <c r="AB258" s="151"/>
      <c r="AC258" s="151"/>
      <c r="AD258" s="151"/>
      <c r="AE258" s="151"/>
      <c r="AF258" s="151"/>
      <c r="AG258" s="151"/>
      <c r="AH258" s="151"/>
      <c r="AI258" s="151"/>
      <c r="AJ258" s="151"/>
      <c r="AK258" s="151"/>
      <c r="AL258" s="151"/>
      <c r="AM258" s="151"/>
      <c r="AN258" s="151"/>
      <c r="AO258" s="151"/>
      <c r="AP258" s="151"/>
      <c r="AQ258" s="151"/>
      <c r="AR258" s="151"/>
    </row>
    <row r="259" ht="24.0" customHeight="1">
      <c r="A259" s="176"/>
      <c r="B259" s="153"/>
      <c r="C259" s="153"/>
      <c r="D259" s="191" t="s">
        <v>1</v>
      </c>
      <c r="E259" s="18"/>
      <c r="F259" s="18"/>
      <c r="G259" s="18"/>
      <c r="H259" s="18"/>
      <c r="I259" s="191" t="s">
        <v>2</v>
      </c>
      <c r="J259" s="18"/>
      <c r="K259" s="18"/>
      <c r="L259" s="191" t="s">
        <v>3</v>
      </c>
      <c r="M259" s="18"/>
      <c r="N259" s="192" t="s">
        <v>14</v>
      </c>
      <c r="O259" s="18"/>
      <c r="P259" s="192" t="s">
        <v>63</v>
      </c>
      <c r="Q259" s="18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1"/>
      <c r="AF259" s="151"/>
      <c r="AG259" s="151"/>
      <c r="AH259" s="151"/>
      <c r="AI259" s="151"/>
      <c r="AJ259" s="151"/>
      <c r="AK259" s="151"/>
      <c r="AL259" s="151"/>
      <c r="AM259" s="151"/>
      <c r="AN259" s="151"/>
      <c r="AO259" s="151"/>
      <c r="AP259" s="151"/>
      <c r="AQ259" s="151"/>
      <c r="AR259" s="151"/>
    </row>
    <row r="260" ht="24.0" customHeight="1">
      <c r="A260" s="151"/>
      <c r="B260" s="151"/>
      <c r="C260" s="151"/>
      <c r="D260" s="151"/>
      <c r="E260" s="151"/>
      <c r="F260" s="15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  <c r="AB260" s="151"/>
      <c r="AC260" s="151"/>
      <c r="AD260" s="151"/>
      <c r="AE260" s="151"/>
      <c r="AF260" s="151"/>
      <c r="AG260" s="151"/>
      <c r="AH260" s="151"/>
      <c r="AI260" s="151"/>
      <c r="AJ260" s="151"/>
      <c r="AK260" s="151"/>
      <c r="AL260" s="151"/>
      <c r="AM260" s="151"/>
      <c r="AN260" s="151"/>
      <c r="AO260" s="151"/>
      <c r="AP260" s="151"/>
      <c r="AQ260" s="151"/>
      <c r="AR260" s="151"/>
    </row>
    <row r="261" ht="24.0" customHeight="1">
      <c r="A261" s="152"/>
      <c r="B261" s="152"/>
      <c r="C261" s="151"/>
      <c r="D261" s="193" t="s">
        <v>61</v>
      </c>
      <c r="E261" s="139"/>
      <c r="F261" s="139"/>
      <c r="G261" s="139"/>
      <c r="H261" s="139"/>
      <c r="I261" s="139"/>
      <c r="J261" s="139"/>
      <c r="K261" s="139"/>
      <c r="L261" s="139"/>
      <c r="M261" s="139"/>
      <c r="N261" s="139"/>
      <c r="O261" s="139"/>
      <c r="P261" s="139"/>
      <c r="Q261" s="139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  <c r="AB261" s="151"/>
      <c r="AC261" s="151"/>
      <c r="AD261" s="151"/>
      <c r="AE261" s="151"/>
      <c r="AF261" s="151"/>
      <c r="AG261" s="151"/>
      <c r="AH261" s="151"/>
      <c r="AI261" s="151"/>
      <c r="AJ261" s="151"/>
      <c r="AK261" s="151"/>
      <c r="AL261" s="151"/>
      <c r="AM261" s="151"/>
      <c r="AN261" s="151"/>
      <c r="AO261" s="151"/>
      <c r="AP261" s="151"/>
      <c r="AQ261" s="151"/>
      <c r="AR261" s="151"/>
    </row>
    <row r="262" ht="24.0" customHeight="1">
      <c r="A262" s="155" t="s">
        <v>40</v>
      </c>
      <c r="B262" s="156" t="s">
        <v>41</v>
      </c>
      <c r="C262" s="151"/>
      <c r="D262" s="157"/>
      <c r="E262" s="158" t="s">
        <v>6</v>
      </c>
      <c r="F262" s="159" t="s">
        <v>15</v>
      </c>
      <c r="G262" s="160"/>
      <c r="H262" s="159" t="s">
        <v>16</v>
      </c>
      <c r="I262" s="160"/>
      <c r="J262" s="159" t="s">
        <v>17</v>
      </c>
      <c r="K262" s="160"/>
      <c r="L262" s="159" t="s">
        <v>18</v>
      </c>
      <c r="M262" s="160"/>
      <c r="N262" s="159" t="s">
        <v>19</v>
      </c>
      <c r="O262" s="157"/>
      <c r="P262" s="159" t="s">
        <v>12</v>
      </c>
      <c r="Q262" s="157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  <c r="AB262" s="151"/>
      <c r="AC262" s="151"/>
      <c r="AD262" s="151"/>
      <c r="AE262" s="151"/>
      <c r="AF262" s="151"/>
      <c r="AG262" s="151"/>
      <c r="AH262" s="151"/>
      <c r="AI262" s="151"/>
      <c r="AJ262" s="151"/>
      <c r="AK262" s="151"/>
      <c r="AL262" s="151"/>
      <c r="AM262" s="151"/>
      <c r="AN262" s="151"/>
      <c r="AO262" s="151"/>
      <c r="AP262" s="151"/>
      <c r="AQ262" s="151"/>
      <c r="AR262" s="151"/>
    </row>
    <row r="263" ht="24.0" customHeight="1">
      <c r="A263" s="162" t="s">
        <v>42</v>
      </c>
      <c r="B263" s="163">
        <v>44932.0</v>
      </c>
      <c r="C263" s="153"/>
      <c r="D263" s="164"/>
      <c r="E263" s="165" t="s">
        <v>13</v>
      </c>
      <c r="F263" s="166">
        <f>SUM(F264:F277)</f>
        <v>126145</v>
      </c>
      <c r="G263" s="167"/>
      <c r="H263" s="166">
        <f>SUM(H264:H277)</f>
        <v>318187</v>
      </c>
      <c r="I263" s="167"/>
      <c r="J263" s="166">
        <f>SUM(J264:J277)</f>
        <v>268444.67</v>
      </c>
      <c r="K263" s="167"/>
      <c r="L263" s="166">
        <f>SUM(L264:L277)</f>
        <v>92602</v>
      </c>
      <c r="M263" s="167"/>
      <c r="N263" s="166">
        <f>SUM(N264:N277)</f>
        <v>115282.22</v>
      </c>
      <c r="O263" s="166"/>
      <c r="P263" s="166">
        <f t="shared" ref="P263:P282" si="10">SUM(F263:O263)</f>
        <v>920660.89</v>
      </c>
      <c r="Q263" s="166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  <c r="AB263" s="151"/>
      <c r="AC263" s="151"/>
      <c r="AD263" s="151"/>
      <c r="AE263" s="151"/>
      <c r="AF263" s="151"/>
      <c r="AG263" s="151"/>
      <c r="AH263" s="151"/>
      <c r="AI263" s="151"/>
      <c r="AJ263" s="151"/>
      <c r="AK263" s="151"/>
      <c r="AL263" s="151"/>
      <c r="AM263" s="151"/>
      <c r="AN263" s="151"/>
      <c r="AO263" s="151"/>
      <c r="AP263" s="151"/>
      <c r="AQ263" s="151"/>
      <c r="AR263" s="151"/>
    </row>
    <row r="264" ht="24.0" customHeight="1">
      <c r="A264" s="162" t="s">
        <v>43</v>
      </c>
      <c r="B264" s="163">
        <v>45120.0</v>
      </c>
      <c r="C264" s="153"/>
      <c r="D264" s="168"/>
      <c r="E264" s="169" t="s">
        <v>20</v>
      </c>
      <c r="F264" s="170">
        <v>0.0</v>
      </c>
      <c r="G264" s="167"/>
      <c r="H264" s="170">
        <v>190000.0</v>
      </c>
      <c r="I264" s="167"/>
      <c r="J264" s="170">
        <v>0.0</v>
      </c>
      <c r="K264" s="167"/>
      <c r="L264" s="170">
        <v>0.0</v>
      </c>
      <c r="M264" s="167"/>
      <c r="N264" s="170">
        <v>0.0</v>
      </c>
      <c r="O264" s="171"/>
      <c r="P264" s="170">
        <f t="shared" si="10"/>
        <v>190000</v>
      </c>
      <c r="Q264" s="194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  <c r="AB264" s="151"/>
      <c r="AC264" s="151"/>
      <c r="AD264" s="151"/>
      <c r="AE264" s="151"/>
      <c r="AF264" s="151"/>
      <c r="AG264" s="151"/>
      <c r="AH264" s="151"/>
      <c r="AI264" s="151"/>
      <c r="AJ264" s="151"/>
      <c r="AK264" s="151"/>
      <c r="AL264" s="151"/>
      <c r="AM264" s="151"/>
      <c r="AN264" s="151"/>
      <c r="AO264" s="151"/>
      <c r="AP264" s="151"/>
      <c r="AQ264" s="151"/>
      <c r="AR264" s="151"/>
    </row>
    <row r="265" ht="24.0" customHeight="1">
      <c r="A265" s="162" t="s">
        <v>44</v>
      </c>
      <c r="B265" s="172" t="s">
        <v>45</v>
      </c>
      <c r="C265" s="153"/>
      <c r="D265" s="168"/>
      <c r="E265" s="169" t="s">
        <v>53</v>
      </c>
      <c r="F265" s="170">
        <f>1937+8034</f>
        <v>9971</v>
      </c>
      <c r="G265" s="167"/>
      <c r="H265" s="170">
        <f>1162+4173+3200+4405+2884</f>
        <v>15824</v>
      </c>
      <c r="I265" s="167"/>
      <c r="J265" s="170">
        <f>438+265+3949+2455+455</f>
        <v>7562</v>
      </c>
      <c r="K265" s="167"/>
      <c r="L265" s="170">
        <f>2642+1200+5466+1000+1999+637+6521</f>
        <v>19465</v>
      </c>
      <c r="M265" s="167"/>
      <c r="N265" s="170">
        <f>659</f>
        <v>659</v>
      </c>
      <c r="O265" s="171"/>
      <c r="P265" s="170">
        <f t="shared" si="10"/>
        <v>53481</v>
      </c>
      <c r="Q265" s="194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  <c r="AB265" s="151"/>
      <c r="AC265" s="151"/>
      <c r="AD265" s="151"/>
      <c r="AE265" s="151"/>
      <c r="AF265" s="151"/>
      <c r="AG265" s="151"/>
      <c r="AH265" s="151"/>
      <c r="AI265" s="151"/>
      <c r="AJ265" s="151"/>
      <c r="AK265" s="151"/>
      <c r="AL265" s="151"/>
      <c r="AM265" s="151"/>
      <c r="AN265" s="151"/>
      <c r="AO265" s="151"/>
      <c r="AP265" s="151"/>
      <c r="AQ265" s="151"/>
      <c r="AR265" s="151"/>
    </row>
    <row r="266" ht="24.0" customHeight="1">
      <c r="A266" s="162" t="s">
        <v>46</v>
      </c>
      <c r="B266" s="172" t="s">
        <v>47</v>
      </c>
      <c r="C266" s="151"/>
      <c r="D266" s="168"/>
      <c r="E266" s="173" t="s">
        <v>22</v>
      </c>
      <c r="F266" s="170">
        <f>76200</f>
        <v>76200</v>
      </c>
      <c r="G266" s="167"/>
      <c r="H266" s="170">
        <f>3946+2400+799</f>
        <v>7145</v>
      </c>
      <c r="I266" s="167"/>
      <c r="J266" s="170">
        <v>0.0</v>
      </c>
      <c r="K266" s="167"/>
      <c r="L266" s="170">
        <f>450+699</f>
        <v>1149</v>
      </c>
      <c r="M266" s="167"/>
      <c r="N266" s="170">
        <f>1845+(2290+450+780)</f>
        <v>5365</v>
      </c>
      <c r="O266" s="171"/>
      <c r="P266" s="170">
        <f t="shared" si="10"/>
        <v>89859</v>
      </c>
      <c r="Q266" s="194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  <c r="AB266" s="151"/>
      <c r="AC266" s="151"/>
      <c r="AD266" s="151"/>
      <c r="AE266" s="151"/>
      <c r="AF266" s="151"/>
      <c r="AG266" s="151"/>
      <c r="AH266" s="151"/>
      <c r="AI266" s="151"/>
      <c r="AJ266" s="151"/>
      <c r="AK266" s="151"/>
      <c r="AL266" s="151"/>
      <c r="AM266" s="151"/>
      <c r="AN266" s="151"/>
      <c r="AO266" s="151"/>
      <c r="AP266" s="151"/>
      <c r="AQ266" s="151"/>
      <c r="AR266" s="151"/>
    </row>
    <row r="267" ht="24.0" customHeight="1">
      <c r="A267" s="174" t="s">
        <v>48</v>
      </c>
      <c r="B267" s="175" t="s">
        <v>49</v>
      </c>
      <c r="C267" s="153"/>
      <c r="D267" s="168"/>
      <c r="E267" s="173" t="s">
        <v>23</v>
      </c>
      <c r="F267" s="170">
        <f>2800+2530+5800</f>
        <v>11130</v>
      </c>
      <c r="G267" s="167"/>
      <c r="H267" s="170">
        <f>872+8950+21952</f>
        <v>31774</v>
      </c>
      <c r="I267" s="167"/>
      <c r="J267" s="170">
        <f>990+3564</f>
        <v>4554</v>
      </c>
      <c r="K267" s="167"/>
      <c r="L267" s="170">
        <f>4650+600</f>
        <v>5250</v>
      </c>
      <c r="M267" s="167"/>
      <c r="N267" s="170">
        <f>3530</f>
        <v>3530</v>
      </c>
      <c r="O267" s="171"/>
      <c r="P267" s="170">
        <f t="shared" si="10"/>
        <v>56238</v>
      </c>
      <c r="Q267" s="194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  <c r="AB267" s="151"/>
      <c r="AC267" s="151"/>
      <c r="AD267" s="151"/>
      <c r="AE267" s="151"/>
      <c r="AF267" s="151"/>
      <c r="AG267" s="151"/>
      <c r="AH267" s="151"/>
      <c r="AI267" s="151"/>
      <c r="AJ267" s="151"/>
      <c r="AK267" s="151"/>
      <c r="AL267" s="151"/>
      <c r="AM267" s="151"/>
      <c r="AN267" s="151"/>
      <c r="AO267" s="151"/>
      <c r="AP267" s="151"/>
      <c r="AQ267" s="151"/>
      <c r="AR267" s="151"/>
    </row>
    <row r="268" ht="24.0" customHeight="1">
      <c r="A268" s="176"/>
      <c r="B268" s="153"/>
      <c r="C268" s="153"/>
      <c r="D268" s="168"/>
      <c r="E268" s="169" t="s">
        <v>24</v>
      </c>
      <c r="F268" s="170">
        <f>1090+990+990</f>
        <v>3070</v>
      </c>
      <c r="G268" s="167"/>
      <c r="H268" s="170">
        <f>1430</f>
        <v>1430</v>
      </c>
      <c r="I268" s="167"/>
      <c r="J268" s="170">
        <v>1090.0</v>
      </c>
      <c r="K268" s="167"/>
      <c r="L268" s="170">
        <f>980+1090+220+220+960</f>
        <v>3470</v>
      </c>
      <c r="M268" s="167"/>
      <c r="N268" s="170">
        <f>960+1000+2300</f>
        <v>4260</v>
      </c>
      <c r="O268" s="171"/>
      <c r="P268" s="170">
        <f t="shared" si="10"/>
        <v>13320</v>
      </c>
      <c r="Q268" s="194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1"/>
      <c r="AF268" s="151"/>
      <c r="AG268" s="151"/>
      <c r="AH268" s="151"/>
      <c r="AI268" s="151"/>
      <c r="AJ268" s="151"/>
      <c r="AK268" s="151"/>
      <c r="AL268" s="151"/>
      <c r="AM268" s="151"/>
      <c r="AN268" s="151"/>
      <c r="AO268" s="151"/>
      <c r="AP268" s="151"/>
      <c r="AQ268" s="151"/>
      <c r="AR268" s="151"/>
    </row>
    <row r="269" ht="24.0" customHeight="1">
      <c r="A269" s="176"/>
      <c r="B269" s="153"/>
      <c r="C269" s="153"/>
      <c r="D269" s="168"/>
      <c r="E269" s="169" t="s">
        <v>25</v>
      </c>
      <c r="F269" s="170">
        <v>0.0</v>
      </c>
      <c r="G269" s="167"/>
      <c r="H269" s="170">
        <v>0.0</v>
      </c>
      <c r="I269" s="167"/>
      <c r="J269" s="170">
        <v>0.0</v>
      </c>
      <c r="K269" s="167"/>
      <c r="L269" s="170">
        <v>0.0</v>
      </c>
      <c r="M269" s="167"/>
      <c r="N269" s="170">
        <v>0.0</v>
      </c>
      <c r="O269" s="171"/>
      <c r="P269" s="170">
        <f t="shared" si="10"/>
        <v>0</v>
      </c>
      <c r="Q269" s="194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  <c r="AB269" s="151"/>
      <c r="AC269" s="151"/>
      <c r="AD269" s="151"/>
      <c r="AE269" s="151"/>
      <c r="AF269" s="151"/>
      <c r="AG269" s="151"/>
      <c r="AH269" s="151"/>
      <c r="AI269" s="151"/>
      <c r="AJ269" s="151"/>
      <c r="AK269" s="151"/>
      <c r="AL269" s="151"/>
      <c r="AM269" s="151"/>
      <c r="AN269" s="151"/>
      <c r="AO269" s="151"/>
      <c r="AP269" s="151"/>
      <c r="AQ269" s="151"/>
      <c r="AR269" s="151"/>
    </row>
    <row r="270" ht="24.0" customHeight="1">
      <c r="A270" s="186"/>
      <c r="B270" s="151"/>
      <c r="C270" s="151"/>
      <c r="D270" s="168"/>
      <c r="E270" s="169" t="s">
        <v>26</v>
      </c>
      <c r="F270" s="170">
        <v>20000.0</v>
      </c>
      <c r="G270" s="167"/>
      <c r="H270" s="170">
        <v>4945.0</v>
      </c>
      <c r="I270" s="167"/>
      <c r="J270" s="170">
        <v>0.0</v>
      </c>
      <c r="K270" s="167"/>
      <c r="L270" s="170">
        <v>20000.0</v>
      </c>
      <c r="M270" s="167"/>
      <c r="N270" s="170">
        <v>40000.0</v>
      </c>
      <c r="O270" s="171"/>
      <c r="P270" s="170">
        <f t="shared" si="10"/>
        <v>84945</v>
      </c>
      <c r="Q270" s="194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  <c r="AB270" s="151"/>
      <c r="AC270" s="151"/>
      <c r="AD270" s="151"/>
      <c r="AE270" s="151"/>
      <c r="AF270" s="151"/>
      <c r="AG270" s="151"/>
      <c r="AH270" s="151"/>
      <c r="AI270" s="151"/>
      <c r="AJ270" s="151"/>
      <c r="AK270" s="151"/>
      <c r="AL270" s="151"/>
      <c r="AM270" s="151"/>
      <c r="AN270" s="151"/>
      <c r="AO270" s="151"/>
      <c r="AP270" s="151"/>
      <c r="AQ270" s="151"/>
      <c r="AR270" s="151"/>
    </row>
    <row r="271" ht="24.0" customHeight="1">
      <c r="A271" s="176"/>
      <c r="B271" s="153"/>
      <c r="C271" s="153"/>
      <c r="D271" s="168"/>
      <c r="E271" s="169" t="s">
        <v>56</v>
      </c>
      <c r="F271" s="170">
        <f>2975</f>
        <v>2975</v>
      </c>
      <c r="G271" s="167"/>
      <c r="H271" s="170">
        <v>0.0</v>
      </c>
      <c r="I271" s="167"/>
      <c r="J271" s="170">
        <v>0.0</v>
      </c>
      <c r="K271" s="167"/>
      <c r="L271" s="170">
        <v>16990.0</v>
      </c>
      <c r="M271" s="167"/>
      <c r="N271" s="170">
        <v>0.0</v>
      </c>
      <c r="O271" s="171"/>
      <c r="P271" s="170">
        <f t="shared" si="10"/>
        <v>19965</v>
      </c>
      <c r="Q271" s="194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  <c r="AB271" s="151"/>
      <c r="AC271" s="151"/>
      <c r="AD271" s="151"/>
      <c r="AE271" s="151"/>
      <c r="AF271" s="151"/>
      <c r="AG271" s="151"/>
      <c r="AH271" s="151"/>
      <c r="AI271" s="151"/>
      <c r="AJ271" s="151"/>
      <c r="AK271" s="151"/>
      <c r="AL271" s="151"/>
      <c r="AM271" s="151"/>
      <c r="AN271" s="151"/>
      <c r="AO271" s="151"/>
      <c r="AP271" s="151"/>
      <c r="AQ271" s="151"/>
      <c r="AR271" s="151"/>
    </row>
    <row r="272" ht="24.0" customHeight="1">
      <c r="A272" s="176"/>
      <c r="B272" s="153"/>
      <c r="C272" s="153"/>
      <c r="D272" s="168"/>
      <c r="E272" s="169" t="s">
        <v>28</v>
      </c>
      <c r="F272" s="170">
        <v>0.0</v>
      </c>
      <c r="G272" s="167"/>
      <c r="H272" s="170">
        <v>0.0</v>
      </c>
      <c r="I272" s="167"/>
      <c r="J272" s="170">
        <f>24320+52868+50000</f>
        <v>127188</v>
      </c>
      <c r="K272" s="167"/>
      <c r="L272" s="170">
        <v>0.0</v>
      </c>
      <c r="M272" s="167"/>
      <c r="N272" s="170">
        <f>1774+2575.22+(5000+5157)+6082+39050</f>
        <v>59638.22</v>
      </c>
      <c r="O272" s="171"/>
      <c r="P272" s="170">
        <f t="shared" si="10"/>
        <v>186826.22</v>
      </c>
      <c r="Q272" s="194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  <c r="AB272" s="151"/>
      <c r="AC272" s="151"/>
      <c r="AD272" s="151"/>
      <c r="AE272" s="151"/>
      <c r="AF272" s="151"/>
      <c r="AG272" s="151"/>
      <c r="AH272" s="151"/>
      <c r="AI272" s="151"/>
      <c r="AJ272" s="151"/>
      <c r="AK272" s="151"/>
      <c r="AL272" s="151"/>
      <c r="AM272" s="151"/>
      <c r="AN272" s="151"/>
      <c r="AO272" s="151"/>
      <c r="AP272" s="151"/>
      <c r="AQ272" s="151"/>
      <c r="AR272" s="151"/>
    </row>
    <row r="273" ht="24.0" customHeight="1">
      <c r="A273" s="176"/>
      <c r="B273" s="153"/>
      <c r="C273" s="153"/>
      <c r="D273" s="168"/>
      <c r="E273" s="169" t="s">
        <v>29</v>
      </c>
      <c r="F273" s="170">
        <v>1000.0</v>
      </c>
      <c r="G273" s="167"/>
      <c r="H273" s="170">
        <v>9500.0</v>
      </c>
      <c r="I273" s="167"/>
      <c r="J273" s="170">
        <v>0.0</v>
      </c>
      <c r="K273" s="167"/>
      <c r="L273" s="170">
        <v>0.0</v>
      </c>
      <c r="M273" s="167"/>
      <c r="N273" s="170">
        <v>0.0</v>
      </c>
      <c r="O273" s="171"/>
      <c r="P273" s="170">
        <f t="shared" si="10"/>
        <v>10500</v>
      </c>
      <c r="Q273" s="194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  <c r="AB273" s="151"/>
      <c r="AC273" s="151"/>
      <c r="AD273" s="151"/>
      <c r="AE273" s="151"/>
      <c r="AF273" s="151"/>
      <c r="AG273" s="151"/>
      <c r="AH273" s="151"/>
      <c r="AI273" s="151"/>
      <c r="AJ273" s="151"/>
      <c r="AK273" s="151"/>
      <c r="AL273" s="151"/>
      <c r="AM273" s="151"/>
      <c r="AN273" s="151"/>
      <c r="AO273" s="151"/>
      <c r="AP273" s="151"/>
      <c r="AQ273" s="151"/>
      <c r="AR273" s="151"/>
    </row>
    <row r="274" ht="24.0" customHeight="1">
      <c r="A274" s="186"/>
      <c r="B274" s="151"/>
      <c r="C274" s="151"/>
      <c r="D274" s="168"/>
      <c r="E274" s="169" t="s">
        <v>30</v>
      </c>
      <c r="F274" s="170">
        <v>0.0</v>
      </c>
      <c r="G274" s="167"/>
      <c r="H274" s="170">
        <v>599.0</v>
      </c>
      <c r="I274" s="167"/>
      <c r="J274" s="170">
        <v>1830.0</v>
      </c>
      <c r="K274" s="167"/>
      <c r="L274" s="170">
        <v>0.0</v>
      </c>
      <c r="M274" s="167"/>
      <c r="N274" s="170">
        <v>1830.0</v>
      </c>
      <c r="O274" s="171"/>
      <c r="P274" s="170">
        <f t="shared" si="10"/>
        <v>4259</v>
      </c>
      <c r="Q274" s="194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  <c r="AB274" s="151"/>
      <c r="AC274" s="151"/>
      <c r="AD274" s="151"/>
      <c r="AE274" s="151"/>
      <c r="AF274" s="151"/>
      <c r="AG274" s="151"/>
      <c r="AH274" s="151"/>
      <c r="AI274" s="151"/>
      <c r="AJ274" s="151"/>
      <c r="AK274" s="151"/>
      <c r="AL274" s="151"/>
      <c r="AM274" s="151"/>
      <c r="AN274" s="151"/>
      <c r="AO274" s="151"/>
      <c r="AP274" s="151"/>
      <c r="AQ274" s="151"/>
      <c r="AR274" s="151"/>
    </row>
    <row r="275" ht="24.0" customHeight="1">
      <c r="A275" s="176"/>
      <c r="B275" s="153"/>
      <c r="C275" s="153"/>
      <c r="D275" s="168"/>
      <c r="E275" s="169" t="s">
        <v>31</v>
      </c>
      <c r="F275" s="170">
        <v>0.0</v>
      </c>
      <c r="G275" s="167"/>
      <c r="H275" s="170">
        <f>17000+39970</f>
        <v>56970</v>
      </c>
      <c r="I275" s="167"/>
      <c r="J275" s="170">
        <v>1090.0</v>
      </c>
      <c r="K275" s="167"/>
      <c r="L275" s="170">
        <f>10595</f>
        <v>10595</v>
      </c>
      <c r="M275" s="167"/>
      <c r="N275" s="170">
        <v>0.0</v>
      </c>
      <c r="O275" s="171"/>
      <c r="P275" s="170">
        <f t="shared" si="10"/>
        <v>68655</v>
      </c>
      <c r="Q275" s="194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  <c r="AB275" s="151"/>
      <c r="AC275" s="151"/>
      <c r="AD275" s="151"/>
      <c r="AE275" s="151"/>
      <c r="AF275" s="151"/>
      <c r="AG275" s="151"/>
      <c r="AH275" s="151"/>
      <c r="AI275" s="151"/>
      <c r="AJ275" s="151"/>
      <c r="AK275" s="151"/>
      <c r="AL275" s="151"/>
      <c r="AM275" s="151"/>
      <c r="AN275" s="151"/>
      <c r="AO275" s="151"/>
      <c r="AP275" s="151"/>
      <c r="AQ275" s="151"/>
      <c r="AR275" s="151"/>
    </row>
    <row r="276" ht="24.0" customHeight="1">
      <c r="A276" s="176"/>
      <c r="B276" s="153"/>
      <c r="C276" s="153"/>
      <c r="D276" s="168"/>
      <c r="E276" s="169" t="s">
        <v>58</v>
      </c>
      <c r="F276" s="170">
        <v>0.0</v>
      </c>
      <c r="G276" s="167"/>
      <c r="H276" s="170">
        <v>0.0</v>
      </c>
      <c r="I276" s="167"/>
      <c r="J276" s="170">
        <v>0.0</v>
      </c>
      <c r="K276" s="167"/>
      <c r="L276" s="170">
        <f>5240+1500+5900</f>
        <v>12640</v>
      </c>
      <c r="M276" s="167"/>
      <c r="N276" s="170">
        <v>0.0</v>
      </c>
      <c r="O276" s="171"/>
      <c r="P276" s="170">
        <f t="shared" si="10"/>
        <v>12640</v>
      </c>
      <c r="Q276" s="194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1"/>
      <c r="AF276" s="151"/>
      <c r="AG276" s="151"/>
      <c r="AH276" s="151"/>
      <c r="AI276" s="151"/>
      <c r="AJ276" s="151"/>
      <c r="AK276" s="151"/>
      <c r="AL276" s="151"/>
      <c r="AM276" s="151"/>
      <c r="AN276" s="151"/>
      <c r="AO276" s="151"/>
      <c r="AP276" s="151"/>
      <c r="AQ276" s="151"/>
      <c r="AR276" s="151"/>
    </row>
    <row r="277" ht="24.0" customHeight="1">
      <c r="A277" s="176"/>
      <c r="B277" s="153"/>
      <c r="C277" s="153"/>
      <c r="D277" s="177"/>
      <c r="E277" s="178" t="s">
        <v>33</v>
      </c>
      <c r="F277" s="170">
        <f>1799</f>
        <v>1799</v>
      </c>
      <c r="G277" s="167"/>
      <c r="H277" s="170">
        <v>0.0</v>
      </c>
      <c r="I277" s="167"/>
      <c r="J277" s="170">
        <f>200+200+1148+452+(217.89+8+7.2+14.9+3+35+25+3.5+7)*383</f>
        <v>125130.67</v>
      </c>
      <c r="K277" s="167"/>
      <c r="L277" s="170">
        <f>1085+200+359+1399</f>
        <v>3043</v>
      </c>
      <c r="M277" s="167"/>
      <c r="N277" s="170">
        <v>0.0</v>
      </c>
      <c r="O277" s="180"/>
      <c r="P277" s="170">
        <f t="shared" si="10"/>
        <v>129972.67</v>
      </c>
      <c r="Q277" s="197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  <c r="AB277" s="151"/>
      <c r="AC277" s="151"/>
      <c r="AD277" s="151"/>
      <c r="AE277" s="151"/>
      <c r="AF277" s="151"/>
      <c r="AG277" s="151"/>
      <c r="AH277" s="151"/>
      <c r="AI277" s="151"/>
      <c r="AJ277" s="151"/>
      <c r="AK277" s="151"/>
      <c r="AL277" s="151"/>
      <c r="AM277" s="151"/>
      <c r="AN277" s="151"/>
      <c r="AO277" s="151"/>
      <c r="AP277" s="151"/>
      <c r="AQ277" s="151"/>
      <c r="AR277" s="151"/>
    </row>
    <row r="278" ht="24.0" customHeight="1">
      <c r="A278" s="176"/>
      <c r="B278" s="153"/>
      <c r="C278" s="153"/>
      <c r="D278" s="181"/>
      <c r="E278" s="182" t="s">
        <v>34</v>
      </c>
      <c r="F278" s="181">
        <f>SUM(F279:F282)</f>
        <v>826881</v>
      </c>
      <c r="G278" s="183"/>
      <c r="H278" s="181">
        <f>SUM(H279:H282)</f>
        <v>0</v>
      </c>
      <c r="I278" s="183"/>
      <c r="J278" s="181">
        <f>SUM(J279:J282)</f>
        <v>166000</v>
      </c>
      <c r="K278" s="183"/>
      <c r="L278" s="181">
        <f>SUM(L279:L282)</f>
        <v>0</v>
      </c>
      <c r="M278" s="183"/>
      <c r="N278" s="181">
        <f>SUM(N279:N282)</f>
        <v>0</v>
      </c>
      <c r="O278" s="181"/>
      <c r="P278" s="166">
        <f t="shared" si="10"/>
        <v>992881</v>
      </c>
      <c r="Q278" s="18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1"/>
      <c r="AF278" s="151"/>
      <c r="AG278" s="151"/>
      <c r="AH278" s="151"/>
      <c r="AI278" s="151"/>
      <c r="AJ278" s="151"/>
      <c r="AK278" s="151"/>
      <c r="AL278" s="151"/>
      <c r="AM278" s="151"/>
      <c r="AN278" s="151"/>
      <c r="AO278" s="151"/>
      <c r="AP278" s="151"/>
      <c r="AQ278" s="151"/>
      <c r="AR278" s="151"/>
    </row>
    <row r="279" ht="24.0" customHeight="1">
      <c r="A279" s="176"/>
      <c r="B279" s="153"/>
      <c r="C279" s="153"/>
      <c r="D279" s="184"/>
      <c r="E279" s="169" t="s">
        <v>35</v>
      </c>
      <c r="F279" s="170">
        <v>803069.0</v>
      </c>
      <c r="G279" s="167"/>
      <c r="H279" s="170">
        <v>0.0</v>
      </c>
      <c r="I279" s="167"/>
      <c r="J279" s="170">
        <v>0.0</v>
      </c>
      <c r="K279" s="167"/>
      <c r="L279" s="170">
        <v>0.0</v>
      </c>
      <c r="M279" s="167"/>
      <c r="N279" s="170">
        <v>0.0</v>
      </c>
      <c r="O279" s="171"/>
      <c r="P279" s="170">
        <f t="shared" si="10"/>
        <v>803069</v>
      </c>
      <c r="Q279" s="194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  <c r="AB279" s="151"/>
      <c r="AC279" s="151"/>
      <c r="AD279" s="151"/>
      <c r="AE279" s="151"/>
      <c r="AF279" s="151"/>
      <c r="AG279" s="151"/>
      <c r="AH279" s="151"/>
      <c r="AI279" s="151"/>
      <c r="AJ279" s="151"/>
      <c r="AK279" s="151"/>
      <c r="AL279" s="151"/>
      <c r="AM279" s="151"/>
      <c r="AN279" s="151"/>
      <c r="AO279" s="151"/>
      <c r="AP279" s="151"/>
      <c r="AQ279" s="151"/>
      <c r="AR279" s="151"/>
    </row>
    <row r="280" ht="24.0" customHeight="1">
      <c r="A280" s="176"/>
      <c r="B280" s="153"/>
      <c r="C280" s="153"/>
      <c r="D280" s="184"/>
      <c r="E280" s="169" t="s">
        <v>36</v>
      </c>
      <c r="F280" s="170">
        <v>23812.0</v>
      </c>
      <c r="G280" s="167"/>
      <c r="H280" s="170"/>
      <c r="I280" s="170">
        <v>0.0</v>
      </c>
      <c r="J280" s="170"/>
      <c r="K280" s="170">
        <v>0.0</v>
      </c>
      <c r="L280" s="170"/>
      <c r="M280" s="170">
        <v>0.0</v>
      </c>
      <c r="N280" s="170">
        <v>0.0</v>
      </c>
      <c r="O280" s="171"/>
      <c r="P280" s="170">
        <f t="shared" si="10"/>
        <v>23812</v>
      </c>
      <c r="Q280" s="194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  <c r="AB280" s="151"/>
      <c r="AC280" s="151"/>
      <c r="AD280" s="151"/>
      <c r="AE280" s="151"/>
      <c r="AF280" s="151"/>
      <c r="AG280" s="151"/>
      <c r="AH280" s="151"/>
      <c r="AI280" s="151"/>
      <c r="AJ280" s="151"/>
      <c r="AK280" s="151"/>
      <c r="AL280" s="151"/>
      <c r="AM280" s="151"/>
      <c r="AN280" s="151"/>
      <c r="AO280" s="151"/>
      <c r="AP280" s="151"/>
      <c r="AQ280" s="151"/>
      <c r="AR280" s="151"/>
    </row>
    <row r="281" ht="24.0" customHeight="1">
      <c r="A281" s="186"/>
      <c r="B281" s="151"/>
      <c r="C281" s="151"/>
      <c r="D281" s="184"/>
      <c r="E281" s="169" t="s">
        <v>37</v>
      </c>
      <c r="F281" s="170">
        <v>0.0</v>
      </c>
      <c r="G281" s="167"/>
      <c r="H281" s="170">
        <v>0.0</v>
      </c>
      <c r="I281" s="167"/>
      <c r="J281" s="170">
        <v>0.0</v>
      </c>
      <c r="K281" s="167"/>
      <c r="L281" s="170">
        <v>0.0</v>
      </c>
      <c r="M281" s="167"/>
      <c r="N281" s="170">
        <v>0.0</v>
      </c>
      <c r="O281" s="171"/>
      <c r="P281" s="170">
        <f t="shared" si="10"/>
        <v>0</v>
      </c>
      <c r="Q281" s="194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  <c r="AB281" s="151"/>
      <c r="AC281" s="151"/>
      <c r="AD281" s="151"/>
      <c r="AE281" s="151"/>
      <c r="AF281" s="151"/>
      <c r="AG281" s="151"/>
      <c r="AH281" s="151"/>
      <c r="AI281" s="151"/>
      <c r="AJ281" s="151"/>
      <c r="AK281" s="151"/>
      <c r="AL281" s="151"/>
      <c r="AM281" s="151"/>
      <c r="AN281" s="151"/>
      <c r="AO281" s="151"/>
      <c r="AP281" s="151"/>
      <c r="AQ281" s="151"/>
      <c r="AR281" s="151"/>
    </row>
    <row r="282" ht="24.0" customHeight="1">
      <c r="A282" s="186"/>
      <c r="B282" s="151"/>
      <c r="C282" s="151"/>
      <c r="D282" s="184"/>
      <c r="E282" s="169" t="s">
        <v>33</v>
      </c>
      <c r="F282" s="170">
        <v>0.0</v>
      </c>
      <c r="G282" s="167"/>
      <c r="H282" s="170">
        <v>0.0</v>
      </c>
      <c r="I282" s="167"/>
      <c r="J282" s="170">
        <v>166000.0</v>
      </c>
      <c r="K282" s="167"/>
      <c r="L282" s="170">
        <v>0.0</v>
      </c>
      <c r="M282" s="167"/>
      <c r="N282" s="170">
        <v>0.0</v>
      </c>
      <c r="O282" s="171"/>
      <c r="P282" s="170">
        <f t="shared" si="10"/>
        <v>166000</v>
      </c>
      <c r="Q282" s="194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  <c r="AB282" s="151"/>
      <c r="AC282" s="151"/>
      <c r="AD282" s="151"/>
      <c r="AE282" s="151"/>
      <c r="AF282" s="151"/>
      <c r="AG282" s="151"/>
      <c r="AH282" s="151"/>
      <c r="AI282" s="151"/>
      <c r="AJ282" s="151"/>
      <c r="AK282" s="151"/>
      <c r="AL282" s="151"/>
      <c r="AM282" s="151"/>
      <c r="AN282" s="151"/>
      <c r="AO282" s="151"/>
      <c r="AP282" s="151"/>
      <c r="AQ282" s="151"/>
      <c r="AR282" s="151"/>
    </row>
    <row r="283" ht="24.0" customHeight="1">
      <c r="A283" s="153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1"/>
      <c r="T283" s="151"/>
      <c r="U283" s="151"/>
      <c r="V283" s="151"/>
      <c r="W283" s="151"/>
      <c r="X283" s="151"/>
      <c r="Y283" s="151"/>
      <c r="Z283" s="151"/>
      <c r="AA283" s="151"/>
      <c r="AB283" s="151"/>
      <c r="AC283" s="151"/>
      <c r="AD283" s="151"/>
      <c r="AE283" s="151"/>
      <c r="AF283" s="151"/>
      <c r="AG283" s="151"/>
      <c r="AH283" s="151"/>
      <c r="AI283" s="151"/>
      <c r="AJ283" s="151"/>
      <c r="AK283" s="151"/>
      <c r="AL283" s="151"/>
      <c r="AM283" s="151"/>
      <c r="AN283" s="151"/>
      <c r="AO283" s="151"/>
      <c r="AP283" s="151"/>
      <c r="AQ283" s="151"/>
      <c r="AR283" s="151"/>
    </row>
    <row r="284">
      <c r="A284" s="211"/>
      <c r="B284" s="211"/>
      <c r="C284" s="211"/>
      <c r="D284" s="211"/>
      <c r="E284" s="211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211"/>
      <c r="R284" s="211"/>
      <c r="S284" s="151"/>
      <c r="T284" s="151"/>
      <c r="U284" s="151"/>
      <c r="V284" s="151"/>
      <c r="W284" s="151"/>
      <c r="X284" s="151"/>
      <c r="Y284" s="151"/>
      <c r="Z284" s="151"/>
      <c r="AA284" s="151"/>
      <c r="AB284" s="151"/>
      <c r="AC284" s="151"/>
      <c r="AD284" s="151"/>
      <c r="AE284" s="151"/>
      <c r="AF284" s="151"/>
      <c r="AG284" s="151"/>
      <c r="AH284" s="151"/>
      <c r="AI284" s="151"/>
      <c r="AJ284" s="151"/>
      <c r="AK284" s="151"/>
      <c r="AL284" s="151"/>
      <c r="AM284" s="151"/>
      <c r="AN284" s="151"/>
      <c r="AO284" s="151"/>
      <c r="AP284" s="151"/>
      <c r="AQ284" s="151"/>
      <c r="AR284" s="151"/>
    </row>
    <row r="285">
      <c r="A285" s="153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1"/>
      <c r="T285" s="151"/>
      <c r="U285" s="151"/>
      <c r="V285" s="151"/>
      <c r="W285" s="151"/>
      <c r="X285" s="151"/>
      <c r="Y285" s="151"/>
      <c r="Z285" s="151"/>
      <c r="AA285" s="151"/>
      <c r="AB285" s="151"/>
      <c r="AC285" s="151"/>
      <c r="AD285" s="151"/>
      <c r="AE285" s="151"/>
      <c r="AF285" s="151"/>
      <c r="AG285" s="151"/>
      <c r="AH285" s="151"/>
      <c r="AI285" s="151"/>
      <c r="AJ285" s="151"/>
      <c r="AK285" s="151"/>
      <c r="AL285" s="151"/>
      <c r="AM285" s="151"/>
      <c r="AN285" s="151"/>
      <c r="AO285" s="151"/>
      <c r="AP285" s="151"/>
      <c r="AQ285" s="151"/>
      <c r="AR285" s="151"/>
    </row>
    <row r="286">
      <c r="A286" s="153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1"/>
      <c r="AF286" s="151"/>
      <c r="AG286" s="151"/>
      <c r="AH286" s="151"/>
      <c r="AI286" s="151"/>
      <c r="AJ286" s="151"/>
      <c r="AK286" s="151"/>
      <c r="AL286" s="151"/>
      <c r="AM286" s="151"/>
      <c r="AN286" s="151"/>
      <c r="AO286" s="151"/>
      <c r="AP286" s="151"/>
      <c r="AQ286" s="151"/>
      <c r="AR286" s="151"/>
    </row>
    <row r="287">
      <c r="A287" s="153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1"/>
      <c r="T287" s="151"/>
      <c r="U287" s="151"/>
      <c r="V287" s="151"/>
      <c r="W287" s="151"/>
      <c r="X287" s="151"/>
      <c r="Y287" s="151"/>
      <c r="Z287" s="151"/>
      <c r="AA287" s="151"/>
      <c r="AB287" s="151"/>
      <c r="AC287" s="151"/>
      <c r="AD287" s="151"/>
      <c r="AE287" s="151"/>
      <c r="AF287" s="151"/>
      <c r="AG287" s="151"/>
      <c r="AH287" s="151"/>
      <c r="AI287" s="151"/>
      <c r="AJ287" s="151"/>
      <c r="AK287" s="151"/>
      <c r="AL287" s="151"/>
      <c r="AM287" s="151"/>
      <c r="AN287" s="151"/>
      <c r="AO287" s="151"/>
      <c r="AP287" s="151"/>
      <c r="AQ287" s="151"/>
      <c r="AR287" s="151"/>
    </row>
    <row r="288" ht="24.0" customHeight="1">
      <c r="A288" s="176"/>
      <c r="B288" s="153"/>
      <c r="C288" s="153"/>
      <c r="D288" s="131"/>
      <c r="E288" s="131"/>
      <c r="F288" s="131"/>
      <c r="G288" s="132"/>
      <c r="H288" s="132"/>
      <c r="I288" s="133">
        <f>(I289/D289)</f>
        <v>0.9093601105</v>
      </c>
      <c r="K288" s="132"/>
      <c r="L288" s="135"/>
      <c r="M288" s="136">
        <f>(1 - I288)</f>
        <v>0.09063988954</v>
      </c>
      <c r="N288" s="137"/>
      <c r="O288" s="137"/>
      <c r="P288" s="132"/>
      <c r="Q288" s="132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1"/>
      <c r="AF288" s="151"/>
      <c r="AG288" s="151"/>
      <c r="AH288" s="151"/>
      <c r="AI288" s="151"/>
      <c r="AJ288" s="151"/>
      <c r="AK288" s="151"/>
      <c r="AL288" s="151"/>
      <c r="AM288" s="151"/>
      <c r="AN288" s="151"/>
      <c r="AO288" s="151"/>
      <c r="AP288" s="151"/>
      <c r="AQ288" s="151"/>
      <c r="AR288" s="151"/>
    </row>
    <row r="289" ht="24.0" customHeight="1">
      <c r="A289" s="176"/>
      <c r="B289" s="153"/>
      <c r="C289" s="153"/>
      <c r="D289" s="140">
        <f>P309</f>
        <v>630812</v>
      </c>
      <c r="E289" s="141"/>
      <c r="F289" s="141"/>
      <c r="G289" s="132"/>
      <c r="I289" s="134">
        <f>P294</f>
        <v>573635.27</v>
      </c>
      <c r="K289" s="132"/>
      <c r="L289" s="135">
        <f>D289-I289</f>
        <v>57176.73</v>
      </c>
      <c r="N289" s="219">
        <v>0.0</v>
      </c>
      <c r="P289" s="218">
        <v>45259.0</v>
      </c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  <c r="AB289" s="151"/>
      <c r="AC289" s="151"/>
      <c r="AD289" s="151"/>
      <c r="AE289" s="151"/>
      <c r="AF289" s="151"/>
      <c r="AG289" s="151"/>
      <c r="AH289" s="151"/>
      <c r="AI289" s="151"/>
      <c r="AJ289" s="151"/>
      <c r="AK289" s="151"/>
      <c r="AL289" s="151"/>
      <c r="AM289" s="151"/>
      <c r="AN289" s="151"/>
      <c r="AO289" s="151"/>
      <c r="AP289" s="151"/>
      <c r="AQ289" s="151"/>
      <c r="AR289" s="151"/>
    </row>
    <row r="290" ht="24.0" customHeight="1">
      <c r="A290" s="176"/>
      <c r="B290" s="153"/>
      <c r="C290" s="153"/>
      <c r="D290" s="191" t="s">
        <v>1</v>
      </c>
      <c r="E290" s="18"/>
      <c r="F290" s="18"/>
      <c r="G290" s="18"/>
      <c r="H290" s="18"/>
      <c r="I290" s="191" t="s">
        <v>2</v>
      </c>
      <c r="J290" s="18"/>
      <c r="K290" s="18"/>
      <c r="L290" s="191" t="s">
        <v>3</v>
      </c>
      <c r="M290" s="18"/>
      <c r="N290" s="192" t="s">
        <v>14</v>
      </c>
      <c r="O290" s="18"/>
      <c r="P290" s="192" t="s">
        <v>63</v>
      </c>
      <c r="Q290" s="18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  <c r="AB290" s="151"/>
      <c r="AC290" s="151"/>
      <c r="AD290" s="151"/>
      <c r="AE290" s="151"/>
      <c r="AF290" s="151"/>
      <c r="AG290" s="151"/>
      <c r="AH290" s="151"/>
      <c r="AI290" s="151"/>
      <c r="AJ290" s="151"/>
      <c r="AK290" s="151"/>
      <c r="AL290" s="151"/>
      <c r="AM290" s="151"/>
      <c r="AN290" s="151"/>
      <c r="AO290" s="151"/>
      <c r="AP290" s="151"/>
      <c r="AQ290" s="151"/>
      <c r="AR290" s="151"/>
    </row>
    <row r="291" ht="24.0" customHeight="1">
      <c r="A291" s="151"/>
      <c r="B291" s="151"/>
      <c r="C291" s="151"/>
      <c r="D291" s="151"/>
      <c r="E291" s="151"/>
      <c r="F291" s="15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  <c r="AB291" s="151"/>
      <c r="AC291" s="151"/>
      <c r="AD291" s="151"/>
      <c r="AE291" s="151"/>
      <c r="AF291" s="151"/>
      <c r="AG291" s="151"/>
      <c r="AH291" s="151"/>
      <c r="AI291" s="151"/>
      <c r="AJ291" s="151"/>
      <c r="AK291" s="151"/>
      <c r="AL291" s="151"/>
      <c r="AM291" s="151"/>
      <c r="AN291" s="151"/>
      <c r="AO291" s="151"/>
      <c r="AP291" s="151"/>
      <c r="AQ291" s="151"/>
      <c r="AR291" s="151"/>
    </row>
    <row r="292" ht="24.0" customHeight="1">
      <c r="A292" s="152"/>
      <c r="B292" s="152"/>
      <c r="C292" s="151"/>
      <c r="D292" s="193" t="s">
        <v>62</v>
      </c>
      <c r="E292" s="139"/>
      <c r="F292" s="139"/>
      <c r="G292" s="139"/>
      <c r="H292" s="139"/>
      <c r="I292" s="139"/>
      <c r="J292" s="139"/>
      <c r="K292" s="139"/>
      <c r="L292" s="139"/>
      <c r="M292" s="139"/>
      <c r="N292" s="139"/>
      <c r="O292" s="139"/>
      <c r="P292" s="139"/>
      <c r="Q292" s="139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  <c r="AB292" s="151"/>
      <c r="AC292" s="151"/>
      <c r="AD292" s="151"/>
      <c r="AE292" s="151"/>
      <c r="AF292" s="151"/>
      <c r="AG292" s="151"/>
      <c r="AH292" s="151"/>
      <c r="AI292" s="151"/>
      <c r="AJ292" s="151"/>
      <c r="AK292" s="151"/>
      <c r="AL292" s="151"/>
      <c r="AM292" s="151"/>
      <c r="AN292" s="151"/>
      <c r="AO292" s="151"/>
      <c r="AP292" s="151"/>
      <c r="AQ292" s="151"/>
      <c r="AR292" s="151"/>
    </row>
    <row r="293" ht="24.0" customHeight="1">
      <c r="A293" s="155" t="s">
        <v>40</v>
      </c>
      <c r="B293" s="156" t="s">
        <v>41</v>
      </c>
      <c r="C293" s="151"/>
      <c r="D293" s="157"/>
      <c r="E293" s="158" t="s">
        <v>6</v>
      </c>
      <c r="F293" s="159" t="s">
        <v>15</v>
      </c>
      <c r="G293" s="160"/>
      <c r="H293" s="159" t="s">
        <v>16</v>
      </c>
      <c r="I293" s="160"/>
      <c r="J293" s="159" t="s">
        <v>17</v>
      </c>
      <c r="K293" s="160"/>
      <c r="L293" s="159" t="s">
        <v>18</v>
      </c>
      <c r="M293" s="160"/>
      <c r="N293" s="159" t="s">
        <v>19</v>
      </c>
      <c r="O293" s="157"/>
      <c r="P293" s="159" t="s">
        <v>12</v>
      </c>
      <c r="Q293" s="157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  <c r="AB293" s="151"/>
      <c r="AC293" s="151"/>
      <c r="AD293" s="151"/>
      <c r="AE293" s="151"/>
      <c r="AF293" s="151"/>
      <c r="AG293" s="151"/>
      <c r="AH293" s="151"/>
      <c r="AI293" s="151"/>
      <c r="AJ293" s="151"/>
      <c r="AK293" s="151"/>
      <c r="AL293" s="151"/>
      <c r="AM293" s="151"/>
      <c r="AN293" s="151"/>
      <c r="AO293" s="151"/>
      <c r="AP293" s="151"/>
      <c r="AQ293" s="151"/>
      <c r="AR293" s="151"/>
    </row>
    <row r="294" ht="24.0" customHeight="1">
      <c r="A294" s="162" t="s">
        <v>42</v>
      </c>
      <c r="B294" s="163">
        <v>44932.0</v>
      </c>
      <c r="C294" s="153"/>
      <c r="D294" s="164"/>
      <c r="E294" s="165" t="s">
        <v>13</v>
      </c>
      <c r="F294" s="166">
        <f>SUM(F295:F308)</f>
        <v>92989.27</v>
      </c>
      <c r="G294" s="167"/>
      <c r="H294" s="166">
        <f>SUM(H295:H308)</f>
        <v>271258</v>
      </c>
      <c r="I294" s="167"/>
      <c r="J294" s="166">
        <f>SUM(J295:J308)</f>
        <v>86678</v>
      </c>
      <c r="K294" s="167"/>
      <c r="L294" s="166">
        <f>SUM(L295:L308)</f>
        <v>114127</v>
      </c>
      <c r="M294" s="167"/>
      <c r="N294" s="166">
        <f>SUM(N295:N308)</f>
        <v>8583</v>
      </c>
      <c r="O294" s="166"/>
      <c r="P294" s="166">
        <f t="shared" ref="P294:P313" si="11">SUM(F294:O294)</f>
        <v>573635.27</v>
      </c>
      <c r="Q294" s="166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  <c r="AB294" s="151"/>
      <c r="AC294" s="151"/>
      <c r="AD294" s="151"/>
      <c r="AE294" s="151"/>
      <c r="AF294" s="151"/>
      <c r="AG294" s="151"/>
      <c r="AH294" s="151"/>
      <c r="AI294" s="151"/>
      <c r="AJ294" s="151"/>
      <c r="AK294" s="151"/>
      <c r="AL294" s="151"/>
      <c r="AM294" s="151"/>
      <c r="AN294" s="151"/>
      <c r="AO294" s="151"/>
      <c r="AP294" s="151"/>
      <c r="AQ294" s="151"/>
      <c r="AR294" s="151"/>
    </row>
    <row r="295" ht="24.0" customHeight="1">
      <c r="A295" s="162" t="s">
        <v>43</v>
      </c>
      <c r="B295" s="163">
        <v>45120.0</v>
      </c>
      <c r="C295" s="153"/>
      <c r="D295" s="168"/>
      <c r="E295" s="169" t="s">
        <v>20</v>
      </c>
      <c r="F295" s="170">
        <v>0.0</v>
      </c>
      <c r="G295" s="167"/>
      <c r="H295" s="170">
        <v>195383.0</v>
      </c>
      <c r="I295" s="167"/>
      <c r="J295" s="170">
        <v>0.0</v>
      </c>
      <c r="K295" s="167"/>
      <c r="L295" s="170">
        <v>0.0</v>
      </c>
      <c r="M295" s="167"/>
      <c r="N295" s="170">
        <v>0.0</v>
      </c>
      <c r="O295" s="171"/>
      <c r="P295" s="170">
        <f t="shared" si="11"/>
        <v>195383</v>
      </c>
      <c r="Q295" s="194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  <c r="AB295" s="151"/>
      <c r="AC295" s="151"/>
      <c r="AD295" s="151"/>
      <c r="AE295" s="151"/>
      <c r="AF295" s="151"/>
      <c r="AG295" s="151"/>
      <c r="AH295" s="151"/>
      <c r="AI295" s="151"/>
      <c r="AJ295" s="151"/>
      <c r="AK295" s="151"/>
      <c r="AL295" s="151"/>
      <c r="AM295" s="151"/>
      <c r="AN295" s="151"/>
      <c r="AO295" s="151"/>
      <c r="AP295" s="151"/>
      <c r="AQ295" s="151"/>
      <c r="AR295" s="151"/>
    </row>
    <row r="296" ht="24.0" customHeight="1">
      <c r="A296" s="162" t="s">
        <v>44</v>
      </c>
      <c r="B296" s="172" t="s">
        <v>45</v>
      </c>
      <c r="C296" s="153"/>
      <c r="D296" s="168"/>
      <c r="E296" s="169" t="s">
        <v>53</v>
      </c>
      <c r="F296" s="170">
        <f>3788+600+4312</f>
        <v>8700</v>
      </c>
      <c r="G296" s="167"/>
      <c r="H296" s="170">
        <f>7909+600+9974+(3397-1500)</f>
        <v>20380</v>
      </c>
      <c r="I296" s="167"/>
      <c r="J296" s="170">
        <f>5170+2000</f>
        <v>7170</v>
      </c>
      <c r="K296" s="167"/>
      <c r="L296" s="170">
        <f>3994+600+4451</f>
        <v>9045</v>
      </c>
      <c r="M296" s="167"/>
      <c r="N296" s="170">
        <f>354+400+1446</f>
        <v>2200</v>
      </c>
      <c r="O296" s="171"/>
      <c r="P296" s="170">
        <f t="shared" si="11"/>
        <v>47495</v>
      </c>
      <c r="Q296" s="194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  <c r="AB296" s="151"/>
      <c r="AC296" s="151"/>
      <c r="AD296" s="151"/>
      <c r="AE296" s="151"/>
      <c r="AF296" s="151"/>
      <c r="AG296" s="151"/>
      <c r="AH296" s="151"/>
      <c r="AI296" s="151"/>
      <c r="AJ296" s="151"/>
      <c r="AK296" s="151"/>
      <c r="AL296" s="151"/>
      <c r="AM296" s="151"/>
      <c r="AN296" s="151"/>
      <c r="AO296" s="151"/>
      <c r="AP296" s="151"/>
      <c r="AQ296" s="151"/>
      <c r="AR296" s="151"/>
    </row>
    <row r="297" ht="24.0" customHeight="1">
      <c r="A297" s="162" t="s">
        <v>46</v>
      </c>
      <c r="B297" s="172" t="s">
        <v>47</v>
      </c>
      <c r="C297" s="151"/>
      <c r="D297" s="168"/>
      <c r="E297" s="173" t="s">
        <v>22</v>
      </c>
      <c r="F297" s="170">
        <v>1650.0</v>
      </c>
      <c r="G297" s="167"/>
      <c r="H297" s="170">
        <f>598+5000</f>
        <v>5598</v>
      </c>
      <c r="I297" s="167"/>
      <c r="J297" s="170">
        <f>1500+1748</f>
        <v>3248</v>
      </c>
      <c r="K297" s="167"/>
      <c r="L297" s="170">
        <f>1399+1998</f>
        <v>3397</v>
      </c>
      <c r="M297" s="167"/>
      <c r="N297" s="170">
        <f>714+590</f>
        <v>1304</v>
      </c>
      <c r="O297" s="171"/>
      <c r="P297" s="170">
        <f t="shared" si="11"/>
        <v>15197</v>
      </c>
      <c r="Q297" s="194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  <c r="AB297" s="151"/>
      <c r="AC297" s="151"/>
      <c r="AD297" s="151"/>
      <c r="AE297" s="151"/>
      <c r="AF297" s="151"/>
      <c r="AG297" s="151"/>
      <c r="AH297" s="151"/>
      <c r="AI297" s="151"/>
      <c r="AJ297" s="151"/>
      <c r="AK297" s="151"/>
      <c r="AL297" s="151"/>
      <c r="AM297" s="151"/>
      <c r="AN297" s="151"/>
      <c r="AO297" s="151"/>
      <c r="AP297" s="151"/>
      <c r="AQ297" s="151"/>
      <c r="AR297" s="151"/>
    </row>
    <row r="298" ht="24.0" customHeight="1">
      <c r="A298" s="174" t="s">
        <v>48</v>
      </c>
      <c r="B298" s="175" t="s">
        <v>49</v>
      </c>
      <c r="C298" s="153"/>
      <c r="D298" s="168"/>
      <c r="E298" s="173" t="s">
        <v>23</v>
      </c>
      <c r="F298" s="170">
        <v>0.0</v>
      </c>
      <c r="G298" s="167"/>
      <c r="H298" s="170">
        <f>2000+990+390+(2849+6897-2100)</f>
        <v>11026</v>
      </c>
      <c r="I298" s="167"/>
      <c r="J298" s="170">
        <f>830+1500+(6540-2600)</f>
        <v>6270</v>
      </c>
      <c r="K298" s="167"/>
      <c r="L298" s="170">
        <f>1975+2350+6140</f>
        <v>10465</v>
      </c>
      <c r="M298" s="167"/>
      <c r="N298" s="170">
        <v>0.0</v>
      </c>
      <c r="O298" s="171"/>
      <c r="P298" s="170">
        <f t="shared" si="11"/>
        <v>27761</v>
      </c>
      <c r="Q298" s="194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  <c r="AB298" s="151"/>
      <c r="AC298" s="151"/>
      <c r="AD298" s="151"/>
      <c r="AE298" s="151"/>
      <c r="AF298" s="151"/>
      <c r="AG298" s="151"/>
      <c r="AH298" s="151"/>
      <c r="AI298" s="151"/>
      <c r="AJ298" s="151"/>
      <c r="AK298" s="151"/>
      <c r="AL298" s="151"/>
      <c r="AM298" s="151"/>
      <c r="AN298" s="151"/>
      <c r="AO298" s="151"/>
      <c r="AP298" s="151"/>
      <c r="AQ298" s="151"/>
      <c r="AR298" s="151"/>
    </row>
    <row r="299" ht="24.0" customHeight="1">
      <c r="A299" s="176"/>
      <c r="B299" s="153"/>
      <c r="C299" s="153"/>
      <c r="D299" s="168"/>
      <c r="E299" s="169" t="s">
        <v>24</v>
      </c>
      <c r="F299" s="170">
        <v>1930.0</v>
      </c>
      <c r="G299" s="167"/>
      <c r="H299" s="170">
        <f>2240+2128+(2100+2900)</f>
        <v>9368</v>
      </c>
      <c r="I299" s="167"/>
      <c r="J299" s="170">
        <f>1700+790</f>
        <v>2490</v>
      </c>
      <c r="K299" s="167"/>
      <c r="L299" s="170">
        <f>700+250+250+3800</f>
        <v>5000</v>
      </c>
      <c r="M299" s="167"/>
      <c r="N299" s="170">
        <v>0.0</v>
      </c>
      <c r="O299" s="171"/>
      <c r="P299" s="170">
        <f t="shared" si="11"/>
        <v>18788</v>
      </c>
      <c r="Q299" s="194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151"/>
      <c r="AE299" s="151"/>
      <c r="AF299" s="151"/>
      <c r="AG299" s="151"/>
      <c r="AH299" s="151"/>
      <c r="AI299" s="151"/>
      <c r="AJ299" s="151"/>
      <c r="AK299" s="151"/>
      <c r="AL299" s="151"/>
      <c r="AM299" s="151"/>
      <c r="AN299" s="151"/>
      <c r="AO299" s="151"/>
      <c r="AP299" s="151"/>
      <c r="AQ299" s="151"/>
      <c r="AR299" s="151"/>
    </row>
    <row r="300" ht="24.0" customHeight="1">
      <c r="A300" s="176"/>
      <c r="B300" s="153"/>
      <c r="C300" s="153"/>
      <c r="D300" s="168"/>
      <c r="E300" s="169" t="s">
        <v>25</v>
      </c>
      <c r="F300" s="170">
        <v>0.0</v>
      </c>
      <c r="G300" s="167"/>
      <c r="H300" s="170">
        <v>0.0</v>
      </c>
      <c r="I300" s="167"/>
      <c r="J300" s="220">
        <f>28000+1590</f>
        <v>29590</v>
      </c>
      <c r="K300" s="167"/>
      <c r="L300" s="170">
        <v>0.0</v>
      </c>
      <c r="M300" s="167"/>
      <c r="N300" s="170">
        <v>1970.0</v>
      </c>
      <c r="O300" s="171"/>
      <c r="P300" s="170">
        <f t="shared" si="11"/>
        <v>31560</v>
      </c>
      <c r="Q300" s="194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  <c r="AB300" s="151"/>
      <c r="AC300" s="151"/>
      <c r="AD300" s="151"/>
      <c r="AE300" s="151"/>
      <c r="AF300" s="151"/>
      <c r="AG300" s="151"/>
      <c r="AH300" s="151"/>
      <c r="AI300" s="151"/>
      <c r="AJ300" s="151"/>
      <c r="AK300" s="151"/>
      <c r="AL300" s="151"/>
      <c r="AM300" s="151"/>
      <c r="AN300" s="151"/>
      <c r="AO300" s="151"/>
      <c r="AP300" s="151"/>
      <c r="AQ300" s="151"/>
      <c r="AR300" s="151"/>
    </row>
    <row r="301" ht="24.0" customHeight="1">
      <c r="A301" s="186"/>
      <c r="B301" s="151"/>
      <c r="C301" s="151"/>
      <c r="D301" s="168"/>
      <c r="E301" s="169" t="s">
        <v>26</v>
      </c>
      <c r="F301" s="170">
        <v>0.0</v>
      </c>
      <c r="G301" s="167"/>
      <c r="H301" s="170">
        <v>5000.0</v>
      </c>
      <c r="I301" s="167"/>
      <c r="J301" s="170">
        <v>0.0</v>
      </c>
      <c r="K301" s="167"/>
      <c r="L301" s="170">
        <v>5000.0</v>
      </c>
      <c r="M301" s="167"/>
      <c r="N301" s="170">
        <v>3109.0</v>
      </c>
      <c r="O301" s="171"/>
      <c r="P301" s="170">
        <f t="shared" si="11"/>
        <v>13109</v>
      </c>
      <c r="Q301" s="194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  <c r="AB301" s="151"/>
      <c r="AC301" s="151"/>
      <c r="AD301" s="151"/>
      <c r="AE301" s="151"/>
      <c r="AF301" s="151"/>
      <c r="AG301" s="151"/>
      <c r="AH301" s="151"/>
      <c r="AI301" s="151"/>
      <c r="AJ301" s="151"/>
      <c r="AK301" s="151"/>
      <c r="AL301" s="151"/>
      <c r="AM301" s="151"/>
      <c r="AN301" s="151"/>
      <c r="AO301" s="151"/>
      <c r="AP301" s="151"/>
      <c r="AQ301" s="151"/>
      <c r="AR301" s="151"/>
    </row>
    <row r="302" ht="24.0" customHeight="1">
      <c r="A302" s="176"/>
      <c r="B302" s="153"/>
      <c r="C302" s="153"/>
      <c r="D302" s="168"/>
      <c r="E302" s="169" t="s">
        <v>56</v>
      </c>
      <c r="F302" s="170">
        <v>0.0</v>
      </c>
      <c r="G302" s="167"/>
      <c r="H302" s="170">
        <v>0.0</v>
      </c>
      <c r="I302" s="167"/>
      <c r="J302" s="170">
        <v>4090.0</v>
      </c>
      <c r="K302" s="167"/>
      <c r="L302" s="170">
        <f>5500+18090</f>
        <v>23590</v>
      </c>
      <c r="M302" s="167"/>
      <c r="N302" s="170">
        <v>0.0</v>
      </c>
      <c r="O302" s="171"/>
      <c r="P302" s="170">
        <f t="shared" si="11"/>
        <v>27680</v>
      </c>
      <c r="Q302" s="194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  <c r="AB302" s="151"/>
      <c r="AC302" s="151"/>
      <c r="AD302" s="151"/>
      <c r="AE302" s="151"/>
      <c r="AF302" s="151"/>
      <c r="AG302" s="151"/>
      <c r="AH302" s="151"/>
      <c r="AI302" s="151"/>
      <c r="AJ302" s="151"/>
      <c r="AK302" s="151"/>
      <c r="AL302" s="151"/>
      <c r="AM302" s="151"/>
      <c r="AN302" s="151"/>
      <c r="AO302" s="151"/>
      <c r="AP302" s="151"/>
      <c r="AQ302" s="151"/>
      <c r="AR302" s="151"/>
    </row>
    <row r="303" ht="24.0" customHeight="1">
      <c r="A303" s="176"/>
      <c r="B303" s="153"/>
      <c r="C303" s="153"/>
      <c r="D303" s="168"/>
      <c r="E303" s="169" t="s">
        <v>28</v>
      </c>
      <c r="F303" s="170">
        <f>25323.78 + 6707.49 + 28878 + 3800</f>
        <v>64709.27</v>
      </c>
      <c r="G303" s="167"/>
      <c r="H303" s="170">
        <v>0.0</v>
      </c>
      <c r="I303" s="167"/>
      <c r="J303" s="170">
        <v>0.0</v>
      </c>
      <c r="K303" s="167"/>
      <c r="L303" s="170">
        <v>0.0</v>
      </c>
      <c r="M303" s="167"/>
      <c r="N303" s="170">
        <v>0.0</v>
      </c>
      <c r="O303" s="171"/>
      <c r="P303" s="170">
        <f t="shared" si="11"/>
        <v>64709.27</v>
      </c>
      <c r="Q303" s="194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  <c r="AB303" s="151"/>
      <c r="AC303" s="151"/>
      <c r="AD303" s="151"/>
      <c r="AE303" s="151"/>
      <c r="AF303" s="151"/>
      <c r="AG303" s="151"/>
      <c r="AH303" s="151"/>
      <c r="AI303" s="151"/>
      <c r="AJ303" s="151"/>
      <c r="AK303" s="151"/>
      <c r="AL303" s="151"/>
      <c r="AM303" s="151"/>
      <c r="AN303" s="151"/>
      <c r="AO303" s="151"/>
      <c r="AP303" s="151"/>
      <c r="AQ303" s="151"/>
      <c r="AR303" s="151"/>
    </row>
    <row r="304" ht="24.0" customHeight="1">
      <c r="A304" s="176"/>
      <c r="B304" s="153"/>
      <c r="C304" s="153"/>
      <c r="D304" s="168"/>
      <c r="E304" s="169" t="s">
        <v>29</v>
      </c>
      <c r="F304" s="170">
        <v>1000.0</v>
      </c>
      <c r="G304" s="167"/>
      <c r="H304" s="170">
        <v>9500.0</v>
      </c>
      <c r="I304" s="167"/>
      <c r="J304" s="170">
        <v>0.0</v>
      </c>
      <c r="K304" s="167"/>
      <c r="L304" s="170">
        <v>2900.0</v>
      </c>
      <c r="M304" s="167"/>
      <c r="N304" s="170">
        <v>0.0</v>
      </c>
      <c r="O304" s="171"/>
      <c r="P304" s="170">
        <f t="shared" si="11"/>
        <v>13400</v>
      </c>
      <c r="Q304" s="194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  <c r="AB304" s="151"/>
      <c r="AC304" s="151"/>
      <c r="AD304" s="151"/>
      <c r="AE304" s="151"/>
      <c r="AF304" s="151"/>
      <c r="AG304" s="151"/>
      <c r="AH304" s="151"/>
      <c r="AI304" s="151"/>
      <c r="AJ304" s="151"/>
      <c r="AK304" s="151"/>
      <c r="AL304" s="151"/>
      <c r="AM304" s="151"/>
      <c r="AN304" s="151"/>
      <c r="AO304" s="151"/>
      <c r="AP304" s="151"/>
      <c r="AQ304" s="151"/>
      <c r="AR304" s="151"/>
    </row>
    <row r="305" ht="24.0" customHeight="1">
      <c r="A305" s="186"/>
      <c r="B305" s="151"/>
      <c r="C305" s="151"/>
      <c r="D305" s="168"/>
      <c r="E305" s="169" t="s">
        <v>30</v>
      </c>
      <c r="F305" s="170">
        <v>0.0</v>
      </c>
      <c r="G305" s="167"/>
      <c r="H305" s="170">
        <f>1990+599</f>
        <v>2589</v>
      </c>
      <c r="I305" s="167"/>
      <c r="J305" s="170">
        <v>1830.0</v>
      </c>
      <c r="K305" s="167"/>
      <c r="L305" s="170">
        <v>0.0</v>
      </c>
      <c r="M305" s="167"/>
      <c r="N305" s="170">
        <v>0.0</v>
      </c>
      <c r="O305" s="171"/>
      <c r="P305" s="170">
        <f t="shared" si="11"/>
        <v>4419</v>
      </c>
      <c r="Q305" s="194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  <c r="AB305" s="151"/>
      <c r="AC305" s="151"/>
      <c r="AD305" s="151"/>
      <c r="AE305" s="151"/>
      <c r="AF305" s="151"/>
      <c r="AG305" s="151"/>
      <c r="AH305" s="151"/>
      <c r="AI305" s="151"/>
      <c r="AJ305" s="151"/>
      <c r="AK305" s="151"/>
      <c r="AL305" s="151"/>
      <c r="AM305" s="151"/>
      <c r="AN305" s="151"/>
      <c r="AO305" s="151"/>
      <c r="AP305" s="151"/>
      <c r="AQ305" s="151"/>
      <c r="AR305" s="151"/>
    </row>
    <row r="306" ht="24.0" customHeight="1">
      <c r="A306" s="176"/>
      <c r="B306" s="153"/>
      <c r="C306" s="153"/>
      <c r="D306" s="168"/>
      <c r="E306" s="169" t="s">
        <v>31</v>
      </c>
      <c r="F306" s="170">
        <v>0.0</v>
      </c>
      <c r="G306" s="167"/>
      <c r="H306" s="170">
        <v>1500.0</v>
      </c>
      <c r="I306" s="167"/>
      <c r="J306" s="220">
        <f>29390+2600</f>
        <v>31990</v>
      </c>
      <c r="K306" s="167"/>
      <c r="L306" s="170">
        <f>8923+1250+1700+6000+29357</f>
        <v>47230</v>
      </c>
      <c r="M306" s="167"/>
      <c r="N306" s="170">
        <v>0.0</v>
      </c>
      <c r="O306" s="171"/>
      <c r="P306" s="170">
        <f t="shared" si="11"/>
        <v>80720</v>
      </c>
      <c r="Q306" s="194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  <c r="AB306" s="151"/>
      <c r="AC306" s="151"/>
      <c r="AD306" s="151"/>
      <c r="AE306" s="151"/>
      <c r="AF306" s="151"/>
      <c r="AG306" s="151"/>
      <c r="AH306" s="151"/>
      <c r="AI306" s="151"/>
      <c r="AJ306" s="151"/>
      <c r="AK306" s="151"/>
      <c r="AL306" s="151"/>
      <c r="AM306" s="151"/>
      <c r="AN306" s="151"/>
      <c r="AO306" s="151"/>
      <c r="AP306" s="151"/>
      <c r="AQ306" s="151"/>
      <c r="AR306" s="151"/>
    </row>
    <row r="307" ht="24.0" customHeight="1">
      <c r="A307" s="176"/>
      <c r="B307" s="153"/>
      <c r="C307" s="153"/>
      <c r="D307" s="168"/>
      <c r="E307" s="169" t="s">
        <v>58</v>
      </c>
      <c r="F307" s="170">
        <v>15000.0</v>
      </c>
      <c r="G307" s="167"/>
      <c r="H307" s="170">
        <v>8604.0</v>
      </c>
      <c r="I307" s="167"/>
      <c r="J307" s="170">
        <v>0.0</v>
      </c>
      <c r="K307" s="167"/>
      <c r="L307" s="170">
        <v>0.0</v>
      </c>
      <c r="M307" s="167"/>
      <c r="N307" s="170">
        <v>0.0</v>
      </c>
      <c r="O307" s="171"/>
      <c r="P307" s="170">
        <f t="shared" si="11"/>
        <v>23604</v>
      </c>
      <c r="Q307" s="194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  <c r="AB307" s="151"/>
      <c r="AC307" s="151"/>
      <c r="AD307" s="151"/>
      <c r="AE307" s="151"/>
      <c r="AF307" s="151"/>
      <c r="AG307" s="151"/>
      <c r="AH307" s="151"/>
      <c r="AI307" s="151"/>
      <c r="AJ307" s="151"/>
      <c r="AK307" s="151"/>
      <c r="AL307" s="151"/>
      <c r="AM307" s="151"/>
      <c r="AN307" s="151"/>
      <c r="AO307" s="151"/>
      <c r="AP307" s="151"/>
      <c r="AQ307" s="151"/>
      <c r="AR307" s="151"/>
    </row>
    <row r="308" ht="24.0" customHeight="1">
      <c r="A308" s="176"/>
      <c r="B308" s="153"/>
      <c r="C308" s="153"/>
      <c r="D308" s="177"/>
      <c r="E308" s="178" t="s">
        <v>33</v>
      </c>
      <c r="F308" s="170">
        <v>0.0</v>
      </c>
      <c r="G308" s="167"/>
      <c r="H308" s="170">
        <v>2310.0</v>
      </c>
      <c r="I308" s="167"/>
      <c r="J308" s="170">
        <v>0.0</v>
      </c>
      <c r="K308" s="167"/>
      <c r="L308" s="170">
        <v>7500.0</v>
      </c>
      <c r="M308" s="167"/>
      <c r="N308" s="170">
        <v>0.0</v>
      </c>
      <c r="O308" s="180"/>
      <c r="P308" s="170">
        <f t="shared" si="11"/>
        <v>9810</v>
      </c>
      <c r="Q308" s="197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1"/>
      <c r="AF308" s="151"/>
      <c r="AG308" s="151"/>
      <c r="AH308" s="151"/>
      <c r="AI308" s="151"/>
      <c r="AJ308" s="151"/>
      <c r="AK308" s="151"/>
      <c r="AL308" s="151"/>
      <c r="AM308" s="151"/>
      <c r="AN308" s="151"/>
      <c r="AO308" s="151"/>
      <c r="AP308" s="151"/>
      <c r="AQ308" s="151"/>
      <c r="AR308" s="151"/>
    </row>
    <row r="309" ht="24.0" customHeight="1">
      <c r="A309" s="176"/>
      <c r="B309" s="153"/>
      <c r="C309" s="153"/>
      <c r="D309" s="181"/>
      <c r="E309" s="182" t="s">
        <v>34</v>
      </c>
      <c r="F309" s="181">
        <f>SUM(F310:F313)</f>
        <v>630812</v>
      </c>
      <c r="G309" s="183"/>
      <c r="H309" s="181">
        <f>SUM(H310:H313)</f>
        <v>0</v>
      </c>
      <c r="I309" s="183"/>
      <c r="J309" s="181">
        <f>SUM(J310:J313)</f>
        <v>0</v>
      </c>
      <c r="K309" s="183"/>
      <c r="L309" s="181">
        <f>SUM(L310:L313)</f>
        <v>0</v>
      </c>
      <c r="M309" s="183"/>
      <c r="N309" s="181">
        <f>SUM(N310:N313)</f>
        <v>0</v>
      </c>
      <c r="O309" s="181"/>
      <c r="P309" s="166">
        <f t="shared" si="11"/>
        <v>630812</v>
      </c>
      <c r="Q309" s="18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  <c r="AB309" s="151"/>
      <c r="AC309" s="151"/>
      <c r="AD309" s="151"/>
      <c r="AE309" s="151"/>
      <c r="AF309" s="151"/>
      <c r="AG309" s="151"/>
      <c r="AH309" s="151"/>
      <c r="AI309" s="151"/>
      <c r="AJ309" s="151"/>
      <c r="AK309" s="151"/>
      <c r="AL309" s="151"/>
      <c r="AM309" s="151"/>
      <c r="AN309" s="151"/>
      <c r="AO309" s="151"/>
      <c r="AP309" s="151"/>
      <c r="AQ309" s="151"/>
      <c r="AR309" s="151"/>
    </row>
    <row r="310" ht="24.0" customHeight="1">
      <c r="A310" s="176"/>
      <c r="B310" s="153"/>
      <c r="C310" s="153"/>
      <c r="D310" s="184"/>
      <c r="E310" s="169" t="s">
        <v>35</v>
      </c>
      <c r="F310" s="170">
        <v>607000.0</v>
      </c>
      <c r="G310" s="167"/>
      <c r="H310" s="170">
        <v>0.0</v>
      </c>
      <c r="I310" s="167"/>
      <c r="J310" s="170">
        <v>0.0</v>
      </c>
      <c r="K310" s="167"/>
      <c r="L310" s="170">
        <v>0.0</v>
      </c>
      <c r="M310" s="167"/>
      <c r="N310" s="170">
        <v>0.0</v>
      </c>
      <c r="O310" s="171"/>
      <c r="P310" s="170">
        <f t="shared" si="11"/>
        <v>607000</v>
      </c>
      <c r="Q310" s="194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  <c r="AB310" s="151"/>
      <c r="AC310" s="151"/>
      <c r="AD310" s="151"/>
      <c r="AE310" s="151"/>
      <c r="AF310" s="151"/>
      <c r="AG310" s="151"/>
      <c r="AH310" s="151"/>
      <c r="AI310" s="151"/>
      <c r="AJ310" s="151"/>
      <c r="AK310" s="151"/>
      <c r="AL310" s="151"/>
      <c r="AM310" s="151"/>
      <c r="AN310" s="151"/>
      <c r="AO310" s="151"/>
      <c r="AP310" s="151"/>
      <c r="AQ310" s="151"/>
      <c r="AR310" s="151"/>
    </row>
    <row r="311" ht="24.0" customHeight="1">
      <c r="A311" s="176"/>
      <c r="B311" s="153"/>
      <c r="C311" s="153"/>
      <c r="D311" s="184"/>
      <c r="E311" s="169" t="s">
        <v>36</v>
      </c>
      <c r="F311" s="170">
        <v>23812.0</v>
      </c>
      <c r="G311" s="167"/>
      <c r="H311" s="170"/>
      <c r="I311" s="170">
        <v>0.0</v>
      </c>
      <c r="J311" s="170"/>
      <c r="K311" s="170">
        <v>0.0</v>
      </c>
      <c r="L311" s="170"/>
      <c r="M311" s="170">
        <v>0.0</v>
      </c>
      <c r="N311" s="170">
        <v>0.0</v>
      </c>
      <c r="O311" s="171"/>
      <c r="P311" s="170">
        <f t="shared" si="11"/>
        <v>23812</v>
      </c>
      <c r="Q311" s="194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  <c r="AB311" s="151"/>
      <c r="AC311" s="151"/>
      <c r="AD311" s="151"/>
      <c r="AE311" s="151"/>
      <c r="AF311" s="151"/>
      <c r="AG311" s="151"/>
      <c r="AH311" s="151"/>
      <c r="AI311" s="151"/>
      <c r="AJ311" s="151"/>
      <c r="AK311" s="151"/>
      <c r="AL311" s="151"/>
      <c r="AM311" s="151"/>
      <c r="AN311" s="151"/>
      <c r="AO311" s="151"/>
      <c r="AP311" s="151"/>
      <c r="AQ311" s="151"/>
      <c r="AR311" s="151"/>
    </row>
    <row r="312" ht="24.0" customHeight="1">
      <c r="A312" s="186"/>
      <c r="B312" s="151"/>
      <c r="C312" s="151"/>
      <c r="D312" s="184"/>
      <c r="E312" s="169" t="s">
        <v>37</v>
      </c>
      <c r="F312" s="170">
        <v>0.0</v>
      </c>
      <c r="G312" s="167"/>
      <c r="H312" s="170">
        <v>0.0</v>
      </c>
      <c r="I312" s="167"/>
      <c r="J312" s="170">
        <v>0.0</v>
      </c>
      <c r="K312" s="167"/>
      <c r="L312" s="170">
        <v>0.0</v>
      </c>
      <c r="M312" s="167"/>
      <c r="N312" s="170">
        <v>0.0</v>
      </c>
      <c r="O312" s="171"/>
      <c r="P312" s="170">
        <f t="shared" si="11"/>
        <v>0</v>
      </c>
      <c r="Q312" s="194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  <c r="AB312" s="151"/>
      <c r="AC312" s="151"/>
      <c r="AD312" s="151"/>
      <c r="AE312" s="151"/>
      <c r="AF312" s="151"/>
      <c r="AG312" s="151"/>
      <c r="AH312" s="151"/>
      <c r="AI312" s="151"/>
      <c r="AJ312" s="151"/>
      <c r="AK312" s="151"/>
      <c r="AL312" s="151"/>
      <c r="AM312" s="151"/>
      <c r="AN312" s="151"/>
      <c r="AO312" s="151"/>
      <c r="AP312" s="151"/>
      <c r="AQ312" s="151"/>
      <c r="AR312" s="151"/>
    </row>
    <row r="313" ht="24.0" customHeight="1">
      <c r="A313" s="186"/>
      <c r="B313" s="151"/>
      <c r="C313" s="151"/>
      <c r="D313" s="184"/>
      <c r="E313" s="169" t="s">
        <v>33</v>
      </c>
      <c r="F313" s="170">
        <v>0.0</v>
      </c>
      <c r="G313" s="167"/>
      <c r="H313" s="170">
        <v>0.0</v>
      </c>
      <c r="I313" s="167"/>
      <c r="J313" s="170">
        <v>0.0</v>
      </c>
      <c r="K313" s="167"/>
      <c r="L313" s="170">
        <v>0.0</v>
      </c>
      <c r="M313" s="167"/>
      <c r="N313" s="170">
        <v>0.0</v>
      </c>
      <c r="O313" s="171"/>
      <c r="P313" s="170">
        <f t="shared" si="11"/>
        <v>0</v>
      </c>
      <c r="Q313" s="194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  <c r="AB313" s="151"/>
      <c r="AC313" s="151"/>
      <c r="AD313" s="151"/>
      <c r="AE313" s="151"/>
      <c r="AF313" s="151"/>
      <c r="AG313" s="151"/>
      <c r="AH313" s="151"/>
      <c r="AI313" s="151"/>
      <c r="AJ313" s="151"/>
      <c r="AK313" s="151"/>
      <c r="AL313" s="151"/>
      <c r="AM313" s="151"/>
      <c r="AN313" s="151"/>
      <c r="AO313" s="151"/>
      <c r="AP313" s="151"/>
      <c r="AQ313" s="151"/>
      <c r="AR313" s="151"/>
    </row>
    <row r="314" ht="24.0" customHeight="1">
      <c r="A314" s="153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1"/>
      <c r="T314" s="151"/>
      <c r="U314" s="151"/>
      <c r="V314" s="151"/>
      <c r="W314" s="151"/>
      <c r="X314" s="151"/>
      <c r="Y314" s="151"/>
      <c r="Z314" s="151"/>
      <c r="AA314" s="151"/>
      <c r="AB314" s="151"/>
      <c r="AC314" s="151"/>
      <c r="AD314" s="151"/>
      <c r="AE314" s="151"/>
      <c r="AF314" s="151"/>
      <c r="AG314" s="151"/>
      <c r="AH314" s="151"/>
      <c r="AI314" s="151"/>
      <c r="AJ314" s="151"/>
      <c r="AK314" s="151"/>
      <c r="AL314" s="151"/>
      <c r="AM314" s="151"/>
      <c r="AN314" s="151"/>
      <c r="AO314" s="151"/>
      <c r="AP314" s="151"/>
      <c r="AQ314" s="151"/>
      <c r="AR314" s="151"/>
    </row>
    <row r="315" ht="24.0" customHeight="1">
      <c r="A315" s="211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151"/>
      <c r="T315" s="151"/>
      <c r="U315" s="151"/>
      <c r="V315" s="151"/>
      <c r="W315" s="151"/>
      <c r="X315" s="151"/>
      <c r="Y315" s="151"/>
      <c r="Z315" s="151"/>
      <c r="AA315" s="151"/>
      <c r="AB315" s="151"/>
      <c r="AC315" s="151"/>
      <c r="AD315" s="151"/>
      <c r="AE315" s="151"/>
      <c r="AF315" s="151"/>
      <c r="AG315" s="151"/>
      <c r="AH315" s="151"/>
      <c r="AI315" s="151"/>
      <c r="AJ315" s="151"/>
      <c r="AK315" s="151"/>
    </row>
    <row r="316" ht="24.0" customHeight="1">
      <c r="A316" s="153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1"/>
      <c r="T316" s="151"/>
      <c r="U316" s="151"/>
      <c r="V316" s="151"/>
      <c r="W316" s="151"/>
      <c r="X316" s="151"/>
      <c r="Y316" s="151"/>
      <c r="Z316" s="151"/>
      <c r="AA316" s="151"/>
      <c r="AB316" s="151"/>
      <c r="AC316" s="151"/>
      <c r="AD316" s="151"/>
      <c r="AE316" s="151"/>
      <c r="AF316" s="151"/>
      <c r="AG316" s="151"/>
      <c r="AH316" s="151"/>
      <c r="AI316" s="151"/>
      <c r="AJ316" s="151"/>
      <c r="AK316" s="151"/>
    </row>
    <row r="317" ht="24.0" customHeight="1">
      <c r="A317" s="153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1"/>
      <c r="T317" s="151"/>
      <c r="U317" s="151"/>
      <c r="V317" s="151"/>
      <c r="W317" s="151"/>
      <c r="X317" s="151"/>
      <c r="Y317" s="151"/>
      <c r="Z317" s="151"/>
      <c r="AA317" s="151"/>
      <c r="AB317" s="151"/>
      <c r="AC317" s="151"/>
      <c r="AD317" s="151"/>
      <c r="AE317" s="151"/>
      <c r="AF317" s="151"/>
      <c r="AG317" s="151"/>
      <c r="AH317" s="151"/>
      <c r="AI317" s="151"/>
      <c r="AJ317" s="151"/>
      <c r="AK317" s="151"/>
    </row>
    <row r="318" ht="24.0" customHeight="1">
      <c r="A318" s="153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1"/>
      <c r="AF318" s="151"/>
      <c r="AG318" s="151"/>
      <c r="AH318" s="151"/>
      <c r="AI318" s="151"/>
      <c r="AJ318" s="151"/>
      <c r="AK318" s="151"/>
    </row>
    <row r="319" ht="24.0" customHeight="1">
      <c r="A319" s="176"/>
      <c r="B319" s="153"/>
      <c r="C319" s="153"/>
      <c r="D319" s="131"/>
      <c r="E319" s="131"/>
      <c r="F319" s="131"/>
      <c r="G319" s="132"/>
      <c r="H319" s="132"/>
      <c r="I319" s="133">
        <f>(I320/D320)</f>
        <v>0.4672283224</v>
      </c>
      <c r="K319" s="132"/>
      <c r="L319" s="135"/>
      <c r="M319" s="136">
        <f>(1 - I319)</f>
        <v>0.5327716776</v>
      </c>
      <c r="N319" s="137"/>
      <c r="O319" s="137"/>
      <c r="P319" s="132"/>
      <c r="Q319" s="132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  <c r="AB319" s="151"/>
      <c r="AC319" s="151"/>
      <c r="AD319" s="151"/>
      <c r="AE319" s="151"/>
      <c r="AF319" s="151"/>
      <c r="AG319" s="151"/>
      <c r="AH319" s="151"/>
      <c r="AI319" s="151"/>
      <c r="AJ319" s="151"/>
      <c r="AK319" s="151"/>
    </row>
    <row r="320" ht="24.0" customHeight="1">
      <c r="A320" s="176"/>
      <c r="B320" s="153"/>
      <c r="C320" s="153"/>
      <c r="D320" s="140">
        <f>P340</f>
        <v>1218006</v>
      </c>
      <c r="E320" s="141"/>
      <c r="F320" s="141"/>
      <c r="G320" s="132"/>
      <c r="I320" s="134">
        <f>P325</f>
        <v>569086.9</v>
      </c>
      <c r="K320" s="132"/>
      <c r="L320" s="135">
        <f>D320-I320</f>
        <v>648919.1</v>
      </c>
      <c r="N320" s="219">
        <v>0.0</v>
      </c>
      <c r="P320" s="218">
        <v>45286.0</v>
      </c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  <c r="AB320" s="151"/>
      <c r="AC320" s="151"/>
      <c r="AD320" s="151"/>
      <c r="AE320" s="151"/>
      <c r="AF320" s="151"/>
      <c r="AG320" s="151"/>
      <c r="AH320" s="151"/>
      <c r="AI320" s="151"/>
      <c r="AJ320" s="151"/>
      <c r="AK320" s="151"/>
    </row>
    <row r="321" ht="24.0" customHeight="1">
      <c r="A321" s="176"/>
      <c r="B321" s="153"/>
      <c r="C321" s="153"/>
      <c r="D321" s="191" t="s">
        <v>1</v>
      </c>
      <c r="E321" s="18"/>
      <c r="F321" s="18"/>
      <c r="G321" s="18"/>
      <c r="H321" s="18"/>
      <c r="I321" s="191" t="s">
        <v>2</v>
      </c>
      <c r="J321" s="18"/>
      <c r="K321" s="18"/>
      <c r="L321" s="191" t="s">
        <v>3</v>
      </c>
      <c r="M321" s="18"/>
      <c r="N321" s="192" t="s">
        <v>14</v>
      </c>
      <c r="O321" s="18"/>
      <c r="P321" s="192" t="s">
        <v>63</v>
      </c>
      <c r="Q321" s="18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  <c r="AB321" s="151"/>
      <c r="AC321" s="151"/>
      <c r="AD321" s="151"/>
      <c r="AE321" s="151"/>
      <c r="AF321" s="151"/>
      <c r="AG321" s="151"/>
      <c r="AH321" s="151"/>
      <c r="AI321" s="151"/>
      <c r="AJ321" s="151"/>
      <c r="AK321" s="151"/>
    </row>
    <row r="322" ht="24.0" customHeight="1">
      <c r="A322" s="151"/>
      <c r="B322" s="151"/>
      <c r="C322" s="151"/>
      <c r="D322" s="151"/>
      <c r="E322" s="151"/>
      <c r="F322" s="15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  <c r="AB322" s="151"/>
      <c r="AC322" s="151"/>
      <c r="AD322" s="151"/>
      <c r="AE322" s="151"/>
      <c r="AF322" s="151"/>
      <c r="AG322" s="151"/>
      <c r="AH322" s="151"/>
      <c r="AI322" s="151"/>
      <c r="AJ322" s="151"/>
      <c r="AK322" s="151"/>
    </row>
    <row r="323" ht="24.0" customHeight="1">
      <c r="A323" s="152"/>
      <c r="B323" s="152"/>
      <c r="C323" s="151"/>
      <c r="D323" s="193" t="s">
        <v>64</v>
      </c>
      <c r="E323" s="139"/>
      <c r="F323" s="139"/>
      <c r="G323" s="139"/>
      <c r="H323" s="139"/>
      <c r="I323" s="139"/>
      <c r="J323" s="139"/>
      <c r="K323" s="139"/>
      <c r="L323" s="139"/>
      <c r="M323" s="139"/>
      <c r="N323" s="139"/>
      <c r="O323" s="139"/>
      <c r="P323" s="139"/>
      <c r="Q323" s="139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  <c r="AB323" s="151"/>
      <c r="AC323" s="151"/>
      <c r="AD323" s="151"/>
      <c r="AE323" s="151"/>
      <c r="AF323" s="151"/>
      <c r="AG323" s="151"/>
      <c r="AH323" s="151"/>
      <c r="AI323" s="151"/>
      <c r="AJ323" s="151"/>
      <c r="AK323" s="151"/>
    </row>
    <row r="324" ht="24.0" customHeight="1">
      <c r="A324" s="155" t="s">
        <v>40</v>
      </c>
      <c r="B324" s="156" t="s">
        <v>41</v>
      </c>
      <c r="C324" s="151"/>
      <c r="D324" s="157"/>
      <c r="E324" s="158" t="s">
        <v>6</v>
      </c>
      <c r="F324" s="159" t="s">
        <v>15</v>
      </c>
      <c r="G324" s="160"/>
      <c r="H324" s="159" t="s">
        <v>16</v>
      </c>
      <c r="I324" s="160"/>
      <c r="J324" s="159" t="s">
        <v>17</v>
      </c>
      <c r="K324" s="160"/>
      <c r="L324" s="159" t="s">
        <v>18</v>
      </c>
      <c r="M324" s="160"/>
      <c r="N324" s="159" t="s">
        <v>19</v>
      </c>
      <c r="O324" s="157"/>
      <c r="P324" s="159" t="s">
        <v>12</v>
      </c>
      <c r="Q324" s="157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  <c r="AB324" s="151"/>
      <c r="AC324" s="151"/>
      <c r="AD324" s="151"/>
      <c r="AE324" s="151"/>
      <c r="AF324" s="151"/>
      <c r="AG324" s="151"/>
      <c r="AH324" s="151"/>
      <c r="AI324" s="151"/>
      <c r="AJ324" s="151"/>
      <c r="AK324" s="151"/>
    </row>
    <row r="325" ht="24.0" customHeight="1">
      <c r="A325" s="162" t="s">
        <v>42</v>
      </c>
      <c r="B325" s="163">
        <v>44932.0</v>
      </c>
      <c r="C325" s="153"/>
      <c r="D325" s="164"/>
      <c r="E325" s="165" t="s">
        <v>13</v>
      </c>
      <c r="F325" s="166">
        <f>SUM(F326:F339)</f>
        <v>41782</v>
      </c>
      <c r="G325" s="167"/>
      <c r="H325" s="166">
        <f>SUM(H326:H339)</f>
        <v>335581</v>
      </c>
      <c r="I325" s="167"/>
      <c r="J325" s="166">
        <f>SUM(J326:J339)</f>
        <v>70519</v>
      </c>
      <c r="K325" s="167"/>
      <c r="L325" s="166">
        <f>SUM(L326:L339)</f>
        <v>61196.9</v>
      </c>
      <c r="M325" s="167"/>
      <c r="N325" s="166">
        <f>SUM(N326:N339)</f>
        <v>60008</v>
      </c>
      <c r="O325" s="166"/>
      <c r="P325" s="166">
        <f t="shared" ref="P325:P344" si="12">SUM(F325:O325)</f>
        <v>569086.9</v>
      </c>
      <c r="Q325" s="166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  <c r="AB325" s="151"/>
      <c r="AC325" s="151"/>
      <c r="AD325" s="151"/>
      <c r="AE325" s="151"/>
      <c r="AF325" s="151"/>
      <c r="AG325" s="151"/>
      <c r="AH325" s="151"/>
      <c r="AI325" s="151"/>
      <c r="AJ325" s="151"/>
      <c r="AK325" s="151"/>
    </row>
    <row r="326" ht="24.0" customHeight="1">
      <c r="A326" s="162" t="s">
        <v>43</v>
      </c>
      <c r="B326" s="163">
        <v>45120.0</v>
      </c>
      <c r="C326" s="153"/>
      <c r="D326" s="168"/>
      <c r="E326" s="169" t="s">
        <v>20</v>
      </c>
      <c r="F326" s="170">
        <v>0.0</v>
      </c>
      <c r="G326" s="167"/>
      <c r="H326" s="170">
        <v>199921.0</v>
      </c>
      <c r="I326" s="167"/>
      <c r="J326" s="170">
        <v>0.0</v>
      </c>
      <c r="K326" s="167"/>
      <c r="L326" s="170">
        <v>0.0</v>
      </c>
      <c r="M326" s="167"/>
      <c r="N326" s="170">
        <v>0.0</v>
      </c>
      <c r="O326" s="171"/>
      <c r="P326" s="170">
        <f t="shared" si="12"/>
        <v>199921</v>
      </c>
      <c r="Q326" s="194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  <c r="AB326" s="151"/>
      <c r="AC326" s="151"/>
      <c r="AD326" s="151"/>
      <c r="AE326" s="151"/>
      <c r="AF326" s="151"/>
      <c r="AG326" s="151"/>
      <c r="AH326" s="151"/>
      <c r="AI326" s="151"/>
      <c r="AJ326" s="151"/>
      <c r="AK326" s="151"/>
    </row>
    <row r="327" ht="24.0" customHeight="1">
      <c r="A327" s="162" t="s">
        <v>44</v>
      </c>
      <c r="B327" s="172" t="s">
        <v>45</v>
      </c>
      <c r="C327" s="153"/>
      <c r="D327" s="168"/>
      <c r="E327" s="169" t="s">
        <v>53</v>
      </c>
      <c r="F327" s="170">
        <f>500+11084+2510+5845</f>
        <v>19939</v>
      </c>
      <c r="G327" s="167"/>
      <c r="H327" s="170">
        <f>1021+1299+1478+410+5366+1466+4355+389</f>
        <v>15784</v>
      </c>
      <c r="I327" s="167"/>
      <c r="J327" s="170">
        <f>7029+600+4289+868+1799+2878+1469</f>
        <v>18932</v>
      </c>
      <c r="K327" s="167"/>
      <c r="L327" s="170">
        <f>10000+600+716+1399+6572+3418</f>
        <v>22705</v>
      </c>
      <c r="M327" s="167"/>
      <c r="N327" s="170">
        <f>1447+2301+1796+600</f>
        <v>6144</v>
      </c>
      <c r="O327" s="171"/>
      <c r="P327" s="170">
        <f t="shared" si="12"/>
        <v>83504</v>
      </c>
      <c r="Q327" s="194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  <c r="AB327" s="151"/>
      <c r="AC327" s="151"/>
      <c r="AD327" s="151"/>
      <c r="AE327" s="151"/>
      <c r="AF327" s="151"/>
      <c r="AG327" s="151"/>
      <c r="AH327" s="151"/>
      <c r="AI327" s="151"/>
      <c r="AJ327" s="151"/>
      <c r="AK327" s="151"/>
    </row>
    <row r="328" ht="24.0" customHeight="1">
      <c r="A328" s="162" t="s">
        <v>46</v>
      </c>
      <c r="B328" s="172" t="s">
        <v>47</v>
      </c>
      <c r="C328" s="151"/>
      <c r="D328" s="168"/>
      <c r="E328" s="173" t="s">
        <v>22</v>
      </c>
      <c r="F328" s="170">
        <v>0.0</v>
      </c>
      <c r="G328" s="167"/>
      <c r="H328" s="170">
        <v>4697.0</v>
      </c>
      <c r="I328" s="167"/>
      <c r="J328" s="170">
        <f>700+858+630</f>
        <v>2188</v>
      </c>
      <c r="K328" s="167"/>
      <c r="L328" s="170">
        <v>0.0</v>
      </c>
      <c r="M328" s="167"/>
      <c r="N328" s="170">
        <f>1948+2241</f>
        <v>4189</v>
      </c>
      <c r="O328" s="171"/>
      <c r="P328" s="170">
        <f t="shared" si="12"/>
        <v>11074</v>
      </c>
      <c r="Q328" s="194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1"/>
      <c r="AF328" s="151"/>
      <c r="AG328" s="151"/>
      <c r="AH328" s="151"/>
      <c r="AI328" s="151"/>
      <c r="AJ328" s="19"/>
      <c r="AK328" s="19"/>
      <c r="AL328" s="19"/>
    </row>
    <row r="329" ht="24.0" customHeight="1">
      <c r="A329" s="174" t="s">
        <v>48</v>
      </c>
      <c r="B329" s="175" t="s">
        <v>49</v>
      </c>
      <c r="C329" s="153"/>
      <c r="D329" s="168"/>
      <c r="E329" s="173" t="s">
        <v>23</v>
      </c>
      <c r="F329" s="170">
        <f>4200+700</f>
        <v>4900</v>
      </c>
      <c r="G329" s="167"/>
      <c r="H329" s="170">
        <v>359.0</v>
      </c>
      <c r="I329" s="167"/>
      <c r="J329" s="170">
        <v>4700.0</v>
      </c>
      <c r="K329" s="167"/>
      <c r="L329" s="170">
        <f>8589+2350+3530</f>
        <v>14469</v>
      </c>
      <c r="M329" s="167"/>
      <c r="N329" s="170">
        <v>5879.0</v>
      </c>
      <c r="O329" s="171"/>
      <c r="P329" s="170">
        <f t="shared" si="12"/>
        <v>30307</v>
      </c>
      <c r="Q329" s="194"/>
      <c r="R329" s="151"/>
      <c r="S329" s="151"/>
      <c r="T329" s="221"/>
      <c r="U329" s="221"/>
      <c r="V329" s="221"/>
      <c r="W329" s="221"/>
      <c r="X329" s="221"/>
      <c r="Y329" s="221"/>
      <c r="Z329" s="221"/>
      <c r="AA329" s="221"/>
      <c r="AB329" s="221"/>
      <c r="AC329" s="221"/>
      <c r="AD329" s="221"/>
      <c r="AE329" s="221"/>
      <c r="AF329" s="221"/>
      <c r="AG329" s="221"/>
      <c r="AH329" s="221"/>
      <c r="AI329" s="221"/>
      <c r="AJ329" s="19"/>
      <c r="AK329" s="19"/>
      <c r="AL329" s="19"/>
    </row>
    <row r="330" ht="24.0" customHeight="1">
      <c r="A330" s="176"/>
      <c r="B330" s="153"/>
      <c r="C330" s="153"/>
      <c r="D330" s="168"/>
      <c r="E330" s="169" t="s">
        <v>24</v>
      </c>
      <c r="F330" s="170">
        <f>400+1190</f>
        <v>1590</v>
      </c>
      <c r="G330" s="167"/>
      <c r="H330" s="170">
        <v>0.0</v>
      </c>
      <c r="I330" s="167"/>
      <c r="J330" s="170">
        <f>2310+999</f>
        <v>3309</v>
      </c>
      <c r="K330" s="167"/>
      <c r="L330" s="170">
        <f>3560/2+ 1000</f>
        <v>2780</v>
      </c>
      <c r="M330" s="167"/>
      <c r="N330" s="170">
        <f>1390+1200</f>
        <v>2590</v>
      </c>
      <c r="O330" s="171"/>
      <c r="P330" s="170">
        <f t="shared" si="12"/>
        <v>10269</v>
      </c>
      <c r="Q330" s="194"/>
      <c r="R330" s="151"/>
      <c r="S330" s="151"/>
      <c r="T330" s="222" t="s">
        <v>65</v>
      </c>
      <c r="U330" s="223"/>
      <c r="V330" s="223"/>
      <c r="W330" s="223"/>
      <c r="X330" s="223"/>
      <c r="Y330" s="223"/>
      <c r="Z330" s="223"/>
      <c r="AA330" s="223"/>
      <c r="AB330" s="223"/>
      <c r="AC330" s="223"/>
      <c r="AD330" s="223"/>
      <c r="AE330" s="223"/>
      <c r="AF330" s="223"/>
      <c r="AG330" s="223"/>
      <c r="AH330" s="223"/>
      <c r="AI330" s="223"/>
      <c r="AJ330" s="19"/>
      <c r="AK330" s="19"/>
      <c r="AL330" s="19"/>
    </row>
    <row r="331" ht="25.5" customHeight="1">
      <c r="A331" s="176"/>
      <c r="B331" s="153"/>
      <c r="C331" s="153"/>
      <c r="D331" s="168"/>
      <c r="E331" s="169" t="s">
        <v>25</v>
      </c>
      <c r="F331" s="170">
        <v>2639.0</v>
      </c>
      <c r="G331" s="167"/>
      <c r="H331" s="170">
        <v>0.0</v>
      </c>
      <c r="I331" s="167"/>
      <c r="J331" s="220">
        <v>7099.0</v>
      </c>
      <c r="K331" s="167"/>
      <c r="L331" s="170">
        <v>0.0</v>
      </c>
      <c r="M331" s="167"/>
      <c r="N331" s="170">
        <v>0.0</v>
      </c>
      <c r="O331" s="171"/>
      <c r="P331" s="170">
        <f t="shared" si="12"/>
        <v>9738</v>
      </c>
      <c r="Q331" s="194"/>
      <c r="R331" s="151"/>
      <c r="S331" s="151"/>
      <c r="T331" s="224" t="s">
        <v>66</v>
      </c>
      <c r="U331" s="225" t="s">
        <v>67</v>
      </c>
      <c r="V331" s="225" t="s">
        <v>21</v>
      </c>
      <c r="W331" s="225" t="s">
        <v>22</v>
      </c>
      <c r="X331" s="225" t="s">
        <v>23</v>
      </c>
      <c r="Y331" s="225" t="s">
        <v>24</v>
      </c>
      <c r="Z331" s="225" t="s">
        <v>25</v>
      </c>
      <c r="AA331" s="225" t="s">
        <v>26</v>
      </c>
      <c r="AB331" s="225" t="s">
        <v>56</v>
      </c>
      <c r="AC331" s="225" t="s">
        <v>28</v>
      </c>
      <c r="AD331" s="225" t="s">
        <v>29</v>
      </c>
      <c r="AE331" s="226" t="s">
        <v>30</v>
      </c>
      <c r="AF331" s="226" t="s">
        <v>31</v>
      </c>
      <c r="AG331" s="226" t="s">
        <v>58</v>
      </c>
      <c r="AH331" s="226" t="s">
        <v>33</v>
      </c>
      <c r="AI331" s="225" t="s">
        <v>68</v>
      </c>
      <c r="AJ331" s="19"/>
      <c r="AK331" s="19"/>
      <c r="AL331" s="19"/>
    </row>
    <row r="332" ht="24.0" customHeight="1">
      <c r="A332" s="186"/>
      <c r="B332" s="151"/>
      <c r="C332" s="151"/>
      <c r="D332" s="168"/>
      <c r="E332" s="169" t="s">
        <v>26</v>
      </c>
      <c r="F332" s="170">
        <v>0.0</v>
      </c>
      <c r="G332" s="167"/>
      <c r="H332" s="170">
        <v>90000.0</v>
      </c>
      <c r="I332" s="167"/>
      <c r="J332" s="170">
        <v>0.0</v>
      </c>
      <c r="K332" s="167"/>
      <c r="L332" s="170">
        <v>0.0</v>
      </c>
      <c r="M332" s="167"/>
      <c r="N332" s="170">
        <v>0.0</v>
      </c>
      <c r="O332" s="171"/>
      <c r="P332" s="170">
        <f t="shared" si="12"/>
        <v>90000</v>
      </c>
      <c r="Q332" s="194"/>
      <c r="R332" s="151"/>
      <c r="S332" s="151"/>
      <c r="T332" s="227" t="s">
        <v>5</v>
      </c>
      <c r="U332" s="228">
        <f>'2023'!P8</f>
        <v>46929</v>
      </c>
      <c r="V332" s="228">
        <f>'2023'!P9</f>
        <v>35986</v>
      </c>
      <c r="W332" s="228">
        <f>'2023'!P10</f>
        <v>4740</v>
      </c>
      <c r="X332" s="228">
        <f>'2023'!P11</f>
        <v>15800</v>
      </c>
      <c r="Y332" s="228">
        <f>'2023'!P12</f>
        <v>0</v>
      </c>
      <c r="Z332" s="228">
        <f>'2023'!P13</f>
        <v>51467</v>
      </c>
      <c r="AA332" s="228">
        <f>'2023'!P14</f>
        <v>76458</v>
      </c>
      <c r="AB332" s="228">
        <f>'2023'!P15</f>
        <v>0</v>
      </c>
      <c r="AC332" s="228">
        <f>'2023'!P16</f>
        <v>85289.1</v>
      </c>
      <c r="AD332" s="228">
        <f>'2023'!P17</f>
        <v>25548</v>
      </c>
      <c r="AE332" s="228">
        <f>'2023'!P18</f>
        <v>3200</v>
      </c>
      <c r="AF332" s="228">
        <f>'2023'!P19</f>
        <v>4470</v>
      </c>
      <c r="AG332" s="228">
        <f>'2023'!P20</f>
        <v>1500</v>
      </c>
      <c r="AH332" s="228">
        <f>'2023'!P21</f>
        <v>13677</v>
      </c>
      <c r="AI332" s="228">
        <f>'2023'!P7</f>
        <v>365064.1</v>
      </c>
      <c r="AJ332" s="19"/>
      <c r="AK332" s="19"/>
      <c r="AL332" s="19"/>
    </row>
    <row r="333" ht="24.0" customHeight="1">
      <c r="A333" s="176"/>
      <c r="B333" s="153"/>
      <c r="C333" s="153"/>
      <c r="D333" s="168"/>
      <c r="E333" s="169" t="s">
        <v>56</v>
      </c>
      <c r="F333" s="170">
        <v>6529.0</v>
      </c>
      <c r="G333" s="167"/>
      <c r="H333" s="170">
        <v>3990.0</v>
      </c>
      <c r="I333" s="167"/>
      <c r="J333" s="170">
        <v>0.0</v>
      </c>
      <c r="K333" s="167"/>
      <c r="L333" s="170">
        <f>6000+4995</f>
        <v>10995</v>
      </c>
      <c r="M333" s="167"/>
      <c r="N333" s="170">
        <v>0.0</v>
      </c>
      <c r="O333" s="171"/>
      <c r="P333" s="170">
        <f t="shared" si="12"/>
        <v>21514</v>
      </c>
      <c r="Q333" s="194"/>
      <c r="R333" s="151"/>
      <c r="S333" s="151"/>
      <c r="T333" s="227" t="s">
        <v>38</v>
      </c>
      <c r="U333" s="228">
        <f>'2023'!P36</f>
        <v>125637</v>
      </c>
      <c r="V333" s="228">
        <f>'2023'!P37</f>
        <v>45277</v>
      </c>
      <c r="W333" s="228">
        <f>'2023'!P38</f>
        <v>20635</v>
      </c>
      <c r="X333" s="228">
        <f>'2023'!P39</f>
        <v>28925</v>
      </c>
      <c r="Y333" s="228">
        <f>'2023'!P40</f>
        <v>4680</v>
      </c>
      <c r="Z333" s="228">
        <f>'2023'!P41</f>
        <v>3790</v>
      </c>
      <c r="AA333" s="228">
        <f>'2023'!P42</f>
        <v>75000</v>
      </c>
      <c r="AB333" s="228">
        <f>'2023'!P43</f>
        <v>0</v>
      </c>
      <c r="AC333" s="228">
        <f>'2023'!P44</f>
        <v>0</v>
      </c>
      <c r="AD333" s="228">
        <f>'2023'!P45</f>
        <v>13530</v>
      </c>
      <c r="AE333" s="228">
        <f>'2023'!P46</f>
        <v>5253</v>
      </c>
      <c r="AF333" s="228">
        <f>'2023'!P47</f>
        <v>0</v>
      </c>
      <c r="AG333" s="228">
        <f>'2023'!P48</f>
        <v>4400</v>
      </c>
      <c r="AH333" s="228">
        <f>'2023'!P49</f>
        <v>2000</v>
      </c>
      <c r="AI333" s="228">
        <f>'2023'!P35</f>
        <v>329127</v>
      </c>
      <c r="AJ333" s="19"/>
      <c r="AK333" s="19"/>
      <c r="AL333" s="19"/>
    </row>
    <row r="334" ht="24.0" customHeight="1">
      <c r="A334" s="176"/>
      <c r="B334" s="153"/>
      <c r="C334" s="153"/>
      <c r="D334" s="168"/>
      <c r="E334" s="169" t="s">
        <v>28</v>
      </c>
      <c r="F334" s="170">
        <v>0.0</v>
      </c>
      <c r="G334" s="167"/>
      <c r="H334" s="170">
        <v>0.0</v>
      </c>
      <c r="I334" s="167"/>
      <c r="J334" s="170">
        <v>0.0</v>
      </c>
      <c r="K334" s="167"/>
      <c r="L334" s="170">
        <v>0.0</v>
      </c>
      <c r="M334" s="167"/>
      <c r="N334" s="170">
        <f>(4640+3790)/2+17157</f>
        <v>21372</v>
      </c>
      <c r="O334" s="171"/>
      <c r="P334" s="170">
        <f t="shared" si="12"/>
        <v>21372</v>
      </c>
      <c r="Q334" s="194"/>
      <c r="R334" s="151"/>
      <c r="S334" s="151"/>
      <c r="T334" s="227" t="s">
        <v>50</v>
      </c>
      <c r="U334" s="228">
        <f>'2023'!P62</f>
        <v>108750</v>
      </c>
      <c r="V334" s="228">
        <f>'2023'!P63</f>
        <v>58755</v>
      </c>
      <c r="W334" s="228">
        <f>'2023'!P64</f>
        <v>9250</v>
      </c>
      <c r="X334" s="228">
        <f>'2023'!P65</f>
        <v>60225</v>
      </c>
      <c r="Y334" s="228">
        <f>'2023'!P66</f>
        <v>10800</v>
      </c>
      <c r="Z334" s="228">
        <f>'2023'!P67</f>
        <v>0</v>
      </c>
      <c r="AA334" s="228">
        <f>'2023'!P68</f>
        <v>20148</v>
      </c>
      <c r="AB334" s="228">
        <f>'2023'!P69</f>
        <v>46575</v>
      </c>
      <c r="AC334" s="228">
        <f>'2023'!P70</f>
        <v>0</v>
      </c>
      <c r="AD334" s="228">
        <f>'2023'!P71</f>
        <v>9500</v>
      </c>
      <c r="AE334" s="228">
        <f>'2023'!P72</f>
        <v>5600</v>
      </c>
      <c r="AF334" s="228">
        <f>'2023'!P73</f>
        <v>0</v>
      </c>
      <c r="AG334" s="228">
        <f>'2023'!P74</f>
        <v>10070</v>
      </c>
      <c r="AH334" s="228">
        <f>'2023'!P75</f>
        <v>0</v>
      </c>
      <c r="AI334" s="228">
        <f>'2023'!P61</f>
        <v>339673</v>
      </c>
      <c r="AJ334" s="151"/>
      <c r="AK334" s="19"/>
      <c r="AL334" s="19"/>
      <c r="AM334" s="19"/>
    </row>
    <row r="335" ht="24.0" customHeight="1">
      <c r="A335" s="176"/>
      <c r="B335" s="153"/>
      <c r="C335" s="153"/>
      <c r="D335" s="168"/>
      <c r="E335" s="169" t="s">
        <v>29</v>
      </c>
      <c r="F335" s="170">
        <v>1000.0</v>
      </c>
      <c r="G335" s="167"/>
      <c r="H335" s="170">
        <f>450+9500</f>
        <v>9950</v>
      </c>
      <c r="I335" s="167"/>
      <c r="J335" s="170">
        <v>0.0</v>
      </c>
      <c r="K335" s="167"/>
      <c r="L335" s="170">
        <v>0.0</v>
      </c>
      <c r="M335" s="167"/>
      <c r="N335" s="170">
        <v>0.0</v>
      </c>
      <c r="O335" s="171"/>
      <c r="P335" s="170">
        <f t="shared" si="12"/>
        <v>10950</v>
      </c>
      <c r="Q335" s="194"/>
      <c r="R335" s="151"/>
      <c r="S335" s="151"/>
      <c r="T335" s="227" t="s">
        <v>52</v>
      </c>
      <c r="U335" s="228">
        <f>'2023'!P88</f>
        <v>115913</v>
      </c>
      <c r="V335" s="228">
        <f>'2023'!P89</f>
        <v>38187</v>
      </c>
      <c r="W335" s="228">
        <f>'2023'!P90</f>
        <v>3579</v>
      </c>
      <c r="X335" s="228">
        <f>'2023'!P91</f>
        <v>49380</v>
      </c>
      <c r="Y335" s="228">
        <f>'2023'!P92</f>
        <v>7810</v>
      </c>
      <c r="Z335" s="228">
        <f>'2023'!P93</f>
        <v>0</v>
      </c>
      <c r="AA335" s="228">
        <f>'2023'!P94</f>
        <v>79599</v>
      </c>
      <c r="AB335" s="228">
        <f>'2023'!P95</f>
        <v>111285</v>
      </c>
      <c r="AC335" s="228">
        <f>'2023'!P96</f>
        <v>0</v>
      </c>
      <c r="AD335" s="228">
        <f>'2023'!P97</f>
        <v>10500</v>
      </c>
      <c r="AE335" s="228">
        <f>'2023'!P98</f>
        <v>0</v>
      </c>
      <c r="AF335" s="228">
        <f>'2023'!P99</f>
        <v>14900</v>
      </c>
      <c r="AG335" s="228">
        <f>'2023'!P100</f>
        <v>9876</v>
      </c>
      <c r="AH335" s="228">
        <f>'2023'!P101</f>
        <v>12159</v>
      </c>
      <c r="AI335" s="228">
        <f>'2023'!P87</f>
        <v>453188</v>
      </c>
      <c r="AJ335" s="151"/>
      <c r="AK335" s="19"/>
      <c r="AL335" s="19"/>
      <c r="AM335" s="19"/>
    </row>
    <row r="336" ht="24.0" customHeight="1">
      <c r="A336" s="186"/>
      <c r="B336" s="151"/>
      <c r="C336" s="151"/>
      <c r="D336" s="168"/>
      <c r="E336" s="169" t="s">
        <v>30</v>
      </c>
      <c r="F336" s="170">
        <v>1990.0</v>
      </c>
      <c r="G336" s="167"/>
      <c r="H336" s="170">
        <f>3090+1990</f>
        <v>5080</v>
      </c>
      <c r="I336" s="167"/>
      <c r="J336" s="170">
        <v>1830.0</v>
      </c>
      <c r="K336" s="167"/>
      <c r="L336" s="170">
        <v>0.0</v>
      </c>
      <c r="M336" s="167"/>
      <c r="N336" s="170">
        <v>0.0</v>
      </c>
      <c r="O336" s="171"/>
      <c r="P336" s="170">
        <f t="shared" si="12"/>
        <v>8900</v>
      </c>
      <c r="Q336" s="194"/>
      <c r="R336" s="151"/>
      <c r="S336" s="151"/>
      <c r="T336" s="227" t="s">
        <v>54</v>
      </c>
      <c r="U336" s="228">
        <f>'2023'!P115</f>
        <v>142016</v>
      </c>
      <c r="V336" s="228">
        <f>'2023'!P116</f>
        <v>62045.76</v>
      </c>
      <c r="W336" s="228">
        <f>'2023'!P117</f>
        <v>20483</v>
      </c>
      <c r="X336" s="228">
        <f>'2023'!P118</f>
        <v>15314</v>
      </c>
      <c r="Y336" s="228">
        <f>'2023'!P119</f>
        <v>6544</v>
      </c>
      <c r="Z336" s="228">
        <f>'2023'!P120</f>
        <v>0</v>
      </c>
      <c r="AA336" s="228">
        <f>'2023'!P121</f>
        <v>12179</v>
      </c>
      <c r="AB336" s="228">
        <f>'2023'!P122</f>
        <v>16285</v>
      </c>
      <c r="AC336" s="228">
        <f>'2023'!P123</f>
        <v>200000</v>
      </c>
      <c r="AD336" s="228">
        <f>'2023'!P124</f>
        <v>13070</v>
      </c>
      <c r="AE336" s="228">
        <f>'2023'!P125</f>
        <v>0</v>
      </c>
      <c r="AF336" s="228">
        <f>'2023'!P126</f>
        <v>0</v>
      </c>
      <c r="AG336" s="228">
        <f>'2023'!P127</f>
        <v>2500</v>
      </c>
      <c r="AH336" s="228">
        <f>'2023'!P128</f>
        <v>25880</v>
      </c>
      <c r="AI336" s="228">
        <f>'2023'!P114</f>
        <v>516316.76</v>
      </c>
      <c r="AJ336" s="19"/>
      <c r="AK336" s="19"/>
      <c r="AL336" s="19"/>
      <c r="AM336" s="19"/>
    </row>
    <row r="337" ht="24.0" customHeight="1">
      <c r="A337" s="176"/>
      <c r="B337" s="153"/>
      <c r="C337" s="153"/>
      <c r="D337" s="168"/>
      <c r="E337" s="169" t="s">
        <v>31</v>
      </c>
      <c r="F337" s="170">
        <v>0.0</v>
      </c>
      <c r="G337" s="167"/>
      <c r="H337" s="170">
        <v>0.0</v>
      </c>
      <c r="I337" s="167"/>
      <c r="J337" s="220">
        <v>32461.0</v>
      </c>
      <c r="K337" s="167"/>
      <c r="L337" s="170">
        <f>1656</f>
        <v>1656</v>
      </c>
      <c r="M337" s="167"/>
      <c r="N337" s="170">
        <f>1340+10000+1140</f>
        <v>12480</v>
      </c>
      <c r="O337" s="171"/>
      <c r="P337" s="170">
        <f t="shared" si="12"/>
        <v>46597</v>
      </c>
      <c r="Q337" s="194"/>
      <c r="R337" s="151"/>
      <c r="S337" s="151"/>
      <c r="T337" s="227" t="s">
        <v>55</v>
      </c>
      <c r="U337" s="228">
        <f>'2023'!P143</f>
        <v>119443</v>
      </c>
      <c r="V337" s="228">
        <f>'2023'!P144</f>
        <v>45958.6</v>
      </c>
      <c r="W337" s="228">
        <f>'2023'!P145</f>
        <v>8308</v>
      </c>
      <c r="X337" s="228">
        <f>'2023'!P146</f>
        <v>6315.24</v>
      </c>
      <c r="Y337" s="228">
        <f>'2023'!P147</f>
        <v>16048</v>
      </c>
      <c r="Z337" s="228">
        <f>'2023'!P148</f>
        <v>18000</v>
      </c>
      <c r="AA337" s="228">
        <f>'2023'!P149</f>
        <v>30000</v>
      </c>
      <c r="AB337" s="228">
        <f>'2023'!P150</f>
        <v>21348</v>
      </c>
      <c r="AC337" s="228">
        <f>'2023'!P151</f>
        <v>71258</v>
      </c>
      <c r="AD337" s="228">
        <f>'2023'!P152</f>
        <v>9500</v>
      </c>
      <c r="AE337" s="228">
        <f>'2023'!P153</f>
        <v>2000</v>
      </c>
      <c r="AF337" s="228">
        <f>'2023'!P154</f>
        <v>5000</v>
      </c>
      <c r="AG337" s="228">
        <f>'2023'!P155</f>
        <v>111860</v>
      </c>
      <c r="AH337" s="228">
        <f>'2023'!P156</f>
        <v>0</v>
      </c>
      <c r="AI337" s="228">
        <f>'2023'!P142</f>
        <v>465038.84</v>
      </c>
      <c r="AJ337" s="19"/>
      <c r="AK337" s="19"/>
      <c r="AL337" s="19"/>
      <c r="AM337" s="19"/>
      <c r="AN337" s="19"/>
    </row>
    <row r="338" ht="24.0" customHeight="1">
      <c r="A338" s="176"/>
      <c r="B338" s="153"/>
      <c r="C338" s="153"/>
      <c r="D338" s="168"/>
      <c r="E338" s="169" t="s">
        <v>58</v>
      </c>
      <c r="F338" s="170">
        <v>0.0</v>
      </c>
      <c r="G338" s="167"/>
      <c r="H338" s="170">
        <v>5800.0</v>
      </c>
      <c r="I338" s="167"/>
      <c r="J338" s="170">
        <v>0.0</v>
      </c>
      <c r="K338" s="167"/>
      <c r="L338" s="170">
        <v>0.0</v>
      </c>
      <c r="M338" s="167"/>
      <c r="N338" s="170">
        <v>0.0</v>
      </c>
      <c r="O338" s="171"/>
      <c r="P338" s="170">
        <f t="shared" si="12"/>
        <v>5800</v>
      </c>
      <c r="Q338" s="194"/>
      <c r="R338" s="151"/>
      <c r="S338" s="151"/>
      <c r="T338" s="227" t="s">
        <v>57</v>
      </c>
      <c r="U338" s="228">
        <f>'2023'!P172</f>
        <v>116118</v>
      </c>
      <c r="V338" s="228">
        <f>'2023'!P173</f>
        <v>51679.75</v>
      </c>
      <c r="W338" s="228">
        <f>'2023'!P174</f>
        <v>1199</v>
      </c>
      <c r="X338" s="228">
        <f>'2023'!P175</f>
        <v>41997.8</v>
      </c>
      <c r="Y338" s="228">
        <f>'2023'!P176</f>
        <v>8295.4</v>
      </c>
      <c r="Z338" s="228">
        <f>'2023'!P177</f>
        <v>0</v>
      </c>
      <c r="AA338" s="228">
        <f>'2023'!P178</f>
        <v>45000</v>
      </c>
      <c r="AB338" s="228">
        <f>'2023'!P179</f>
        <v>19508.23</v>
      </c>
      <c r="AC338" s="228">
        <f>'2023'!P180</f>
        <v>0</v>
      </c>
      <c r="AD338" s="228">
        <f>'2023'!P181</f>
        <v>30860</v>
      </c>
      <c r="AE338" s="228">
        <f>'2023'!P182</f>
        <v>0</v>
      </c>
      <c r="AF338" s="228">
        <f>'2023'!P183</f>
        <v>0</v>
      </c>
      <c r="AG338" s="228">
        <f>'2023'!P184</f>
        <v>29050</v>
      </c>
      <c r="AH338" s="228">
        <f>'2023'!P185</f>
        <v>170000</v>
      </c>
      <c r="AI338" s="228">
        <f>'2023'!P171</f>
        <v>513708.18</v>
      </c>
      <c r="AJ338" s="19"/>
      <c r="AK338" s="19"/>
      <c r="AL338" s="19"/>
      <c r="AM338" s="19"/>
      <c r="AN338" s="19"/>
    </row>
    <row r="339" ht="24.0" customHeight="1">
      <c r="A339" s="176"/>
      <c r="B339" s="153"/>
      <c r="C339" s="153"/>
      <c r="D339" s="177"/>
      <c r="E339" s="178" t="s">
        <v>33</v>
      </c>
      <c r="F339" s="170">
        <v>3195.0</v>
      </c>
      <c r="G339" s="167"/>
      <c r="H339" s="170">
        <v>0.0</v>
      </c>
      <c r="I339" s="167"/>
      <c r="J339" s="170">
        <v>0.0</v>
      </c>
      <c r="K339" s="167"/>
      <c r="L339" s="170">
        <f>3560/2+(5542.7+1269.2)</f>
        <v>8591.9</v>
      </c>
      <c r="M339" s="167"/>
      <c r="N339" s="170">
        <v>7354.0</v>
      </c>
      <c r="O339" s="180"/>
      <c r="P339" s="170">
        <f t="shared" si="12"/>
        <v>19140.9</v>
      </c>
      <c r="Q339" s="197"/>
      <c r="R339" s="151"/>
      <c r="S339" s="151"/>
      <c r="T339" s="227" t="s">
        <v>59</v>
      </c>
      <c r="U339" s="228">
        <f>'2023'!P202</f>
        <v>125838</v>
      </c>
      <c r="V339" s="228">
        <f>'2023'!P203</f>
        <v>36595</v>
      </c>
      <c r="W339" s="228">
        <f>'2023'!P204</f>
        <v>3987</v>
      </c>
      <c r="X339" s="228">
        <f>'2023'!P205</f>
        <v>14829</v>
      </c>
      <c r="Y339" s="228">
        <f>'2023'!P206</f>
        <v>16711</v>
      </c>
      <c r="Z339" s="228">
        <f>'2023'!P207</f>
        <v>0</v>
      </c>
      <c r="AA339" s="228">
        <f>'2023'!P208</f>
        <v>40000</v>
      </c>
      <c r="AB339" s="228">
        <f>'2023'!P209</f>
        <v>17485</v>
      </c>
      <c r="AC339" s="228">
        <f>'2023'!P210</f>
        <v>167466.9821</v>
      </c>
      <c r="AD339" s="228">
        <f>'2023'!P211</f>
        <v>16340</v>
      </c>
      <c r="AE339" s="228">
        <f>'2023'!P212</f>
        <v>6674</v>
      </c>
      <c r="AF339" s="228">
        <f>'2023'!P213</f>
        <v>0</v>
      </c>
      <c r="AG339" s="228">
        <f>'2023'!P214</f>
        <v>65734</v>
      </c>
      <c r="AH339" s="228">
        <f>'2023'!P215</f>
        <v>72614</v>
      </c>
      <c r="AI339" s="228">
        <f>'2023'!P201</f>
        <v>584273.9821</v>
      </c>
      <c r="AJ339" s="19"/>
      <c r="AK339" s="19"/>
      <c r="AL339" s="19"/>
      <c r="AM339" s="19"/>
      <c r="AN339" s="19"/>
    </row>
    <row r="340" ht="24.0" customHeight="1">
      <c r="A340" s="176"/>
      <c r="B340" s="153"/>
      <c r="C340" s="153"/>
      <c r="D340" s="181"/>
      <c r="E340" s="182" t="s">
        <v>34</v>
      </c>
      <c r="F340" s="181">
        <f>SUM(F341:F344)</f>
        <v>584297</v>
      </c>
      <c r="G340" s="183"/>
      <c r="H340" s="181">
        <f>SUM(H341:H344)</f>
        <v>23000</v>
      </c>
      <c r="I340" s="183"/>
      <c r="J340" s="181">
        <f>SUM(J341:J344)</f>
        <v>610709</v>
      </c>
      <c r="K340" s="183"/>
      <c r="L340" s="181">
        <f>SUM(L341:L344)</f>
        <v>0</v>
      </c>
      <c r="M340" s="183"/>
      <c r="N340" s="181">
        <f>SUM(N341:N344)</f>
        <v>0</v>
      </c>
      <c r="O340" s="181"/>
      <c r="P340" s="166">
        <f t="shared" si="12"/>
        <v>1218006</v>
      </c>
      <c r="Q340" s="181"/>
      <c r="R340" s="151"/>
      <c r="S340" s="151"/>
      <c r="T340" s="227" t="s">
        <v>60</v>
      </c>
      <c r="U340" s="228">
        <f>'2023'!P233</f>
        <v>512007</v>
      </c>
      <c r="V340" s="228">
        <f>'2023'!P234</f>
        <v>77605</v>
      </c>
      <c r="W340" s="228">
        <f>'2023'!P235</f>
        <v>85955</v>
      </c>
      <c r="X340" s="228">
        <f>'2023'!P236</f>
        <v>33842</v>
      </c>
      <c r="Y340" s="228">
        <f>'2023'!P237</f>
        <v>5660</v>
      </c>
      <c r="Z340" s="228">
        <f>'2023'!P238</f>
        <v>0</v>
      </c>
      <c r="AA340" s="228">
        <f>'2023'!P239</f>
        <v>20000</v>
      </c>
      <c r="AB340" s="228">
        <f>'2023'!P240</f>
        <v>15000</v>
      </c>
      <c r="AC340" s="228">
        <f>'2023'!P241</f>
        <v>0</v>
      </c>
      <c r="AD340" s="228">
        <f>'2023'!P242</f>
        <v>14620</v>
      </c>
      <c r="AE340" s="228">
        <f>'2023'!P243</f>
        <v>5443</v>
      </c>
      <c r="AF340" s="228">
        <f>'2023'!P244</f>
        <v>0</v>
      </c>
      <c r="AG340" s="228">
        <f>'2023'!P245</f>
        <v>5556</v>
      </c>
      <c r="AH340" s="228">
        <f>'2023'!P246</f>
        <v>140861</v>
      </c>
      <c r="AI340" s="228">
        <f>'2023'!P232</f>
        <v>916549</v>
      </c>
      <c r="AJ340" s="19"/>
      <c r="AK340" s="19"/>
      <c r="AL340" s="19"/>
      <c r="AM340" s="19"/>
      <c r="AN340" s="19"/>
    </row>
    <row r="341" ht="24.0" customHeight="1">
      <c r="A341" s="176"/>
      <c r="B341" s="153"/>
      <c r="C341" s="153"/>
      <c r="D341" s="184"/>
      <c r="E341" s="169" t="s">
        <v>35</v>
      </c>
      <c r="F341" s="170">
        <v>559873.0</v>
      </c>
      <c r="G341" s="167"/>
      <c r="H341" s="170">
        <v>0.0</v>
      </c>
      <c r="I341" s="167"/>
      <c r="J341" s="170">
        <v>610709.0</v>
      </c>
      <c r="K341" s="167"/>
      <c r="L341" s="170">
        <v>0.0</v>
      </c>
      <c r="M341" s="167"/>
      <c r="N341" s="170">
        <v>0.0</v>
      </c>
      <c r="O341" s="171"/>
      <c r="P341" s="170">
        <f t="shared" si="12"/>
        <v>1170582</v>
      </c>
      <c r="Q341" s="194"/>
      <c r="R341" s="151"/>
      <c r="S341" s="151"/>
      <c r="T341" s="227" t="s">
        <v>61</v>
      </c>
      <c r="U341" s="228">
        <f>'2023'!P264</f>
        <v>190000</v>
      </c>
      <c r="V341" s="228">
        <f>'2023'!P265</f>
        <v>53481</v>
      </c>
      <c r="W341" s="228">
        <f>'2023'!P266</f>
        <v>89859</v>
      </c>
      <c r="X341" s="228">
        <f>'2023'!P267</f>
        <v>56238</v>
      </c>
      <c r="Y341" s="228">
        <f>'2023'!P268</f>
        <v>13320</v>
      </c>
      <c r="Z341" s="228">
        <f>'2023'!P269</f>
        <v>0</v>
      </c>
      <c r="AA341" s="228">
        <f>'2023'!P270</f>
        <v>84945</v>
      </c>
      <c r="AB341" s="228">
        <f>'2023'!P271</f>
        <v>19965</v>
      </c>
      <c r="AC341" s="228">
        <f>'2023'!P272</f>
        <v>186826.22</v>
      </c>
      <c r="AD341" s="228">
        <f>'2023'!P273</f>
        <v>10500</v>
      </c>
      <c r="AE341" s="228">
        <f>'2023'!P274</f>
        <v>4259</v>
      </c>
      <c r="AF341" s="228">
        <f>'2023'!P275</f>
        <v>68655</v>
      </c>
      <c r="AG341" s="228">
        <f>'2023'!P276</f>
        <v>12640</v>
      </c>
      <c r="AH341" s="228">
        <f>'2023'!P277</f>
        <v>129972.67</v>
      </c>
      <c r="AI341" s="228">
        <f>'2023'!P263</f>
        <v>920660.89</v>
      </c>
      <c r="AJ341" s="19"/>
      <c r="AK341" s="19"/>
      <c r="AL341" s="19"/>
      <c r="AM341" s="19"/>
      <c r="AN341" s="19"/>
    </row>
    <row r="342" ht="24.0" customHeight="1">
      <c r="A342" s="176"/>
      <c r="B342" s="153"/>
      <c r="C342" s="153"/>
      <c r="D342" s="184"/>
      <c r="E342" s="169" t="s">
        <v>36</v>
      </c>
      <c r="F342" s="170">
        <v>23812.0</v>
      </c>
      <c r="G342" s="167"/>
      <c r="H342" s="170"/>
      <c r="I342" s="170">
        <v>0.0</v>
      </c>
      <c r="J342" s="170"/>
      <c r="K342" s="170">
        <v>0.0</v>
      </c>
      <c r="L342" s="170"/>
      <c r="M342" s="170">
        <v>0.0</v>
      </c>
      <c r="N342" s="170">
        <v>0.0</v>
      </c>
      <c r="O342" s="171"/>
      <c r="P342" s="170">
        <f t="shared" si="12"/>
        <v>23812</v>
      </c>
      <c r="Q342" s="194"/>
      <c r="R342" s="151"/>
      <c r="S342" s="151"/>
      <c r="T342" s="227" t="s">
        <v>62</v>
      </c>
      <c r="U342" s="228">
        <f>'2023'!P295</f>
        <v>195383</v>
      </c>
      <c r="V342" s="228">
        <f>'2023'!P296</f>
        <v>47495</v>
      </c>
      <c r="W342" s="228">
        <f>'2023'!P297</f>
        <v>15197</v>
      </c>
      <c r="X342" s="228">
        <f>'2023'!P298</f>
        <v>27761</v>
      </c>
      <c r="Y342" s="228">
        <f>'2023'!P299</f>
        <v>18788</v>
      </c>
      <c r="Z342" s="228">
        <f>'2023'!P300</f>
        <v>31560</v>
      </c>
      <c r="AA342" s="228">
        <f>'2023'!P301</f>
        <v>13109</v>
      </c>
      <c r="AB342" s="228">
        <f>'2023'!P302</f>
        <v>27680</v>
      </c>
      <c r="AC342" s="228">
        <f>'2023'!P303</f>
        <v>64709.27</v>
      </c>
      <c r="AD342" s="228">
        <f>'2023'!P304</f>
        <v>13400</v>
      </c>
      <c r="AE342" s="228">
        <f>'2023'!P305</f>
        <v>4419</v>
      </c>
      <c r="AF342" s="228">
        <f>'2023'!P306</f>
        <v>80720</v>
      </c>
      <c r="AG342" s="228">
        <f>'2023'!P307</f>
        <v>23604</v>
      </c>
      <c r="AH342" s="228">
        <f>'2023'!P308</f>
        <v>9810</v>
      </c>
      <c r="AI342" s="228">
        <f>'2023'!P294</f>
        <v>573635.27</v>
      </c>
      <c r="AJ342" s="19"/>
      <c r="AK342" s="19"/>
      <c r="AL342" s="19"/>
      <c r="AM342" s="19"/>
      <c r="AN342" s="19"/>
    </row>
    <row r="343" ht="24.0" customHeight="1">
      <c r="A343" s="186"/>
      <c r="B343" s="151"/>
      <c r="C343" s="151"/>
      <c r="D343" s="184"/>
      <c r="E343" s="169" t="s">
        <v>37</v>
      </c>
      <c r="F343" s="170">
        <v>0.0</v>
      </c>
      <c r="G343" s="167"/>
      <c r="H343" s="170">
        <v>0.0</v>
      </c>
      <c r="I343" s="167"/>
      <c r="J343" s="170">
        <v>0.0</v>
      </c>
      <c r="K343" s="167"/>
      <c r="L343" s="170">
        <v>0.0</v>
      </c>
      <c r="M343" s="167"/>
      <c r="N343" s="170">
        <v>0.0</v>
      </c>
      <c r="O343" s="171"/>
      <c r="P343" s="170">
        <f t="shared" si="12"/>
        <v>0</v>
      </c>
      <c r="Q343" s="194"/>
      <c r="R343" s="151"/>
      <c r="S343" s="151"/>
      <c r="T343" s="227" t="s">
        <v>64</v>
      </c>
      <c r="U343" s="228">
        <f>'2023'!P326</f>
        <v>199921</v>
      </c>
      <c r="V343" s="228">
        <f>'2023'!P327</f>
        <v>83504</v>
      </c>
      <c r="W343" s="228">
        <f>'2023'!P328</f>
        <v>11074</v>
      </c>
      <c r="X343" s="228">
        <f>'2023'!P329</f>
        <v>30307</v>
      </c>
      <c r="Y343" s="228">
        <f>'2023'!P330</f>
        <v>10269</v>
      </c>
      <c r="Z343" s="228">
        <f>'2023'!P331</f>
        <v>9738</v>
      </c>
      <c r="AA343" s="228">
        <f>'2023'!P332</f>
        <v>90000</v>
      </c>
      <c r="AB343" s="228">
        <f>'2023'!P333</f>
        <v>21514</v>
      </c>
      <c r="AC343" s="228">
        <f>'2023'!P334</f>
        <v>21372</v>
      </c>
      <c r="AD343" s="228">
        <f>'2023'!P335</f>
        <v>10950</v>
      </c>
      <c r="AE343" s="228">
        <f>'2023'!P336</f>
        <v>8900</v>
      </c>
      <c r="AF343" s="228">
        <f>'2023'!P337</f>
        <v>46597</v>
      </c>
      <c r="AG343" s="228">
        <f>'2023'!P338</f>
        <v>5800</v>
      </c>
      <c r="AH343" s="228">
        <f>'2023'!P339</f>
        <v>19140.9</v>
      </c>
      <c r="AI343" s="228">
        <f>'2023'!P325</f>
        <v>569086.9</v>
      </c>
      <c r="AJ343" s="19"/>
      <c r="AK343" s="19"/>
      <c r="AL343" s="19"/>
      <c r="AM343" s="19"/>
      <c r="AN343" s="19"/>
    </row>
    <row r="344" ht="24.0" customHeight="1">
      <c r="A344" s="186"/>
      <c r="B344" s="151"/>
      <c r="C344" s="151"/>
      <c r="D344" s="184"/>
      <c r="E344" s="169" t="s">
        <v>33</v>
      </c>
      <c r="F344" s="170">
        <v>612.0</v>
      </c>
      <c r="G344" s="167"/>
      <c r="H344" s="170">
        <v>23000.0</v>
      </c>
      <c r="I344" s="167"/>
      <c r="J344" s="170">
        <v>0.0</v>
      </c>
      <c r="K344" s="167"/>
      <c r="L344" s="170">
        <v>0.0</v>
      </c>
      <c r="M344" s="167"/>
      <c r="N344" s="170">
        <v>0.0</v>
      </c>
      <c r="O344" s="171"/>
      <c r="P344" s="170">
        <f t="shared" si="12"/>
        <v>23612</v>
      </c>
      <c r="Q344" s="194"/>
      <c r="R344" s="151"/>
      <c r="S344" s="151"/>
      <c r="T344" s="229" t="s">
        <v>69</v>
      </c>
      <c r="U344" s="228">
        <f t="shared" ref="U344:AI344" si="13">SUM(U332:U343)</f>
        <v>1997955</v>
      </c>
      <c r="V344" s="230">
        <f t="shared" si="13"/>
        <v>636569.11</v>
      </c>
      <c r="W344" s="228">
        <f t="shared" si="13"/>
        <v>274266</v>
      </c>
      <c r="X344" s="230">
        <f t="shared" si="13"/>
        <v>380934.04</v>
      </c>
      <c r="Y344" s="230">
        <f t="shared" si="13"/>
        <v>118925.4</v>
      </c>
      <c r="Z344" s="230">
        <f t="shared" si="13"/>
        <v>114555</v>
      </c>
      <c r="AA344" s="230">
        <f t="shared" si="13"/>
        <v>586438</v>
      </c>
      <c r="AB344" s="230">
        <f t="shared" si="13"/>
        <v>316645.23</v>
      </c>
      <c r="AC344" s="230">
        <f t="shared" si="13"/>
        <v>796921.5721</v>
      </c>
      <c r="AD344" s="230">
        <f t="shared" si="13"/>
        <v>178318</v>
      </c>
      <c r="AE344" s="230">
        <f t="shared" si="13"/>
        <v>45748</v>
      </c>
      <c r="AF344" s="230">
        <f t="shared" si="13"/>
        <v>220342</v>
      </c>
      <c r="AG344" s="230">
        <f t="shared" si="13"/>
        <v>282590</v>
      </c>
      <c r="AH344" s="230">
        <f t="shared" si="13"/>
        <v>596114.57</v>
      </c>
      <c r="AI344" s="230">
        <f t="shared" si="13"/>
        <v>6546321.922</v>
      </c>
      <c r="AJ344" s="19"/>
      <c r="AK344" s="19"/>
      <c r="AL344" s="19"/>
      <c r="AM344" s="19"/>
      <c r="AN344" s="19"/>
    </row>
    <row r="345" ht="24.0" customHeight="1">
      <c r="A345" s="153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1"/>
      <c r="T345" s="151"/>
      <c r="U345" s="151"/>
      <c r="V345" s="151"/>
      <c r="W345" s="151"/>
      <c r="X345" s="151"/>
      <c r="Y345" s="151"/>
      <c r="Z345" s="151"/>
      <c r="AA345" s="151"/>
      <c r="AB345" s="151"/>
      <c r="AC345" s="151"/>
      <c r="AD345" s="151"/>
      <c r="AE345" s="151"/>
      <c r="AF345" s="151"/>
      <c r="AG345" s="151"/>
      <c r="AH345" s="151"/>
      <c r="AI345" s="151"/>
      <c r="AJ345" s="19"/>
      <c r="AK345" s="19"/>
      <c r="AL345" s="19"/>
      <c r="AM345" s="19"/>
      <c r="AN345" s="19"/>
    </row>
    <row r="346">
      <c r="A346" s="153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  <c r="AD346" s="153"/>
      <c r="AE346" s="153"/>
      <c r="AF346" s="153"/>
      <c r="AG346" s="153"/>
      <c r="AH346" s="153"/>
      <c r="AI346" s="153"/>
      <c r="AJ346" s="28"/>
      <c r="AK346" s="19"/>
      <c r="AL346" s="19"/>
      <c r="AM346" s="19"/>
      <c r="AN346" s="19"/>
      <c r="AO346" s="151"/>
      <c r="AP346" s="151"/>
      <c r="AQ346" s="151"/>
      <c r="AR346" s="151"/>
    </row>
    <row r="347">
      <c r="A347" s="153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 t="s">
        <v>70</v>
      </c>
      <c r="AA347" s="153"/>
      <c r="AB347" s="153"/>
      <c r="AC347" s="153"/>
      <c r="AD347" s="153"/>
      <c r="AE347" s="153"/>
      <c r="AF347" s="153"/>
      <c r="AG347" s="153"/>
      <c r="AH347" s="153"/>
      <c r="AI347" s="153"/>
      <c r="AJ347" s="153"/>
      <c r="AK347" s="151"/>
      <c r="AL347" s="151"/>
      <c r="AM347" s="151"/>
      <c r="AN347" s="151"/>
      <c r="AO347" s="151"/>
      <c r="AP347" s="151"/>
      <c r="AQ347" s="151"/>
      <c r="AR347" s="151"/>
    </row>
    <row r="348">
      <c r="A348" s="153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231" t="s">
        <v>66</v>
      </c>
      <c r="U348" s="231" t="s">
        <v>71</v>
      </c>
      <c r="V348" s="231" t="s">
        <v>72</v>
      </c>
      <c r="W348" s="231" t="s">
        <v>73</v>
      </c>
      <c r="X348" s="153"/>
      <c r="Y348" s="232" t="s">
        <v>20</v>
      </c>
      <c r="Z348" s="233">
        <f>U344</f>
        <v>1997955</v>
      </c>
      <c r="AA348" s="153"/>
      <c r="AB348" s="153"/>
      <c r="AC348" s="153"/>
      <c r="AD348" s="153"/>
      <c r="AE348" s="153"/>
      <c r="AF348" s="153"/>
      <c r="AG348" s="153"/>
      <c r="AH348" s="153"/>
      <c r="AI348" s="153"/>
      <c r="AJ348" s="153"/>
      <c r="AK348" s="151"/>
      <c r="AL348" s="151"/>
      <c r="AM348" s="19"/>
      <c r="AN348" s="19"/>
      <c r="AO348" s="19"/>
      <c r="AP348" s="19"/>
      <c r="AQ348" s="19"/>
      <c r="AR348" s="19"/>
    </row>
    <row r="349">
      <c r="A349" s="153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234" t="s">
        <v>5</v>
      </c>
      <c r="U349" s="235">
        <f>'2023'!P22</f>
        <v>668097</v>
      </c>
      <c r="V349" s="235">
        <v>365064.1</v>
      </c>
      <c r="W349" s="236">
        <f t="shared" ref="W349:W361" si="14">(U349-V349)/U349</f>
        <v>0.4535762023</v>
      </c>
      <c r="X349" s="153"/>
      <c r="Y349" s="232" t="s">
        <v>53</v>
      </c>
      <c r="Z349" s="233">
        <f>V344</f>
        <v>636569.11</v>
      </c>
      <c r="AA349" s="153"/>
      <c r="AB349" s="153"/>
      <c r="AC349" s="153"/>
      <c r="AD349" s="153"/>
      <c r="AE349" s="153"/>
      <c r="AF349" s="153"/>
      <c r="AG349" s="153"/>
      <c r="AH349" s="153"/>
      <c r="AI349" s="153"/>
      <c r="AJ349" s="153"/>
      <c r="AK349" s="151"/>
      <c r="AL349" s="151"/>
      <c r="AM349" s="19"/>
      <c r="AN349" s="19"/>
      <c r="AO349" s="19"/>
      <c r="AP349" s="19"/>
      <c r="AQ349" s="19"/>
      <c r="AR349" s="19"/>
    </row>
    <row r="350">
      <c r="A350" s="153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234" t="s">
        <v>38</v>
      </c>
      <c r="U350" s="235">
        <f>'2023'!P50</f>
        <v>679550</v>
      </c>
      <c r="V350" s="235">
        <v>329127.0</v>
      </c>
      <c r="W350" s="236">
        <f t="shared" si="14"/>
        <v>0.5156691928</v>
      </c>
      <c r="X350" s="153"/>
      <c r="Y350" s="237" t="s">
        <v>22</v>
      </c>
      <c r="Z350" s="233">
        <f>W344</f>
        <v>274266</v>
      </c>
      <c r="AA350" s="153"/>
      <c r="AB350" s="153"/>
      <c r="AC350" s="153"/>
      <c r="AD350" s="153"/>
      <c r="AE350" s="153"/>
      <c r="AF350" s="153"/>
      <c r="AG350" s="153"/>
      <c r="AH350" s="153"/>
      <c r="AI350" s="153"/>
      <c r="AL350" s="151"/>
      <c r="AM350" s="19"/>
      <c r="AN350" s="19"/>
      <c r="AO350" s="19"/>
      <c r="AP350" s="19"/>
      <c r="AQ350" s="19"/>
      <c r="AR350" s="19"/>
    </row>
    <row r="351">
      <c r="A351" s="153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234" t="s">
        <v>50</v>
      </c>
      <c r="U351" s="235">
        <f>'2023'!P76</f>
        <v>729570</v>
      </c>
      <c r="V351" s="235">
        <v>339673.0</v>
      </c>
      <c r="W351" s="236">
        <f t="shared" si="14"/>
        <v>0.534420275</v>
      </c>
      <c r="X351" s="153"/>
      <c r="Y351" s="237" t="s">
        <v>23</v>
      </c>
      <c r="Z351" s="233">
        <f>X344</f>
        <v>380934.04</v>
      </c>
      <c r="AA351" s="153"/>
      <c r="AB351" s="153"/>
      <c r="AC351" s="153"/>
      <c r="AD351" s="153"/>
      <c r="AE351" s="153"/>
      <c r="AF351" s="153"/>
      <c r="AG351" s="153"/>
      <c r="AH351" s="153"/>
      <c r="AI351" s="153"/>
      <c r="AL351" s="151"/>
      <c r="AM351" s="19"/>
      <c r="AN351" s="19"/>
      <c r="AO351" s="19"/>
      <c r="AP351" s="19"/>
      <c r="AQ351" s="19"/>
      <c r="AR351" s="19"/>
    </row>
    <row r="352">
      <c r="A352" s="153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234" t="s">
        <v>52</v>
      </c>
      <c r="U352" s="235">
        <f>'2023'!P102</f>
        <v>702812</v>
      </c>
      <c r="V352" s="235">
        <v>453188.0</v>
      </c>
      <c r="W352" s="236">
        <f t="shared" si="14"/>
        <v>0.3551789099</v>
      </c>
      <c r="X352" s="153"/>
      <c r="Y352" s="232" t="s">
        <v>24</v>
      </c>
      <c r="Z352" s="233">
        <f>Y344</f>
        <v>118925.4</v>
      </c>
      <c r="AA352" s="153"/>
      <c r="AB352" s="153"/>
      <c r="AC352" s="153"/>
      <c r="AD352" s="153"/>
      <c r="AE352" s="153"/>
      <c r="AF352" s="153"/>
      <c r="AG352" s="153"/>
      <c r="AH352" s="153"/>
      <c r="AI352" s="153"/>
      <c r="AL352" s="151"/>
      <c r="AM352" s="19"/>
      <c r="AN352" s="19"/>
      <c r="AO352" s="19"/>
      <c r="AP352" s="19"/>
      <c r="AQ352" s="19"/>
      <c r="AR352" s="19"/>
    </row>
    <row r="353">
      <c r="A353" s="153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234" t="s">
        <v>54</v>
      </c>
      <c r="U353" s="235">
        <f>'2023'!P129</f>
        <v>1041809</v>
      </c>
      <c r="V353" s="235">
        <v>516316.76</v>
      </c>
      <c r="W353" s="236">
        <f t="shared" si="14"/>
        <v>0.5044036287</v>
      </c>
      <c r="X353" s="153"/>
      <c r="Y353" s="232" t="s">
        <v>25</v>
      </c>
      <c r="Z353" s="233">
        <f>Z344</f>
        <v>114555</v>
      </c>
      <c r="AA353" s="153"/>
      <c r="AB353" s="153"/>
      <c r="AC353" s="153"/>
      <c r="AD353" s="153"/>
      <c r="AE353" s="153"/>
      <c r="AF353" s="153"/>
      <c r="AG353" s="153"/>
      <c r="AH353" s="153"/>
      <c r="AI353" s="153"/>
      <c r="AL353" s="151"/>
      <c r="AM353" s="19"/>
      <c r="AN353" s="19"/>
      <c r="AO353" s="19"/>
      <c r="AP353" s="19"/>
      <c r="AQ353" s="19"/>
      <c r="AR353" s="19"/>
    </row>
    <row r="354">
      <c r="A354" s="153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234" t="s">
        <v>55</v>
      </c>
      <c r="U354" s="235">
        <f>'2023'!P157</f>
        <v>710945</v>
      </c>
      <c r="V354" s="235">
        <v>465038.83999999997</v>
      </c>
      <c r="W354" s="236">
        <f t="shared" si="14"/>
        <v>0.3458863344</v>
      </c>
      <c r="X354" s="153"/>
      <c r="Y354" s="232" t="s">
        <v>26</v>
      </c>
      <c r="Z354" s="233">
        <f>AA344</f>
        <v>586438</v>
      </c>
      <c r="AA354" s="153"/>
      <c r="AB354" s="153"/>
      <c r="AC354" s="153"/>
      <c r="AD354" s="153"/>
      <c r="AE354" s="153"/>
      <c r="AF354" s="153"/>
      <c r="AG354" s="153"/>
      <c r="AH354" s="153"/>
      <c r="AI354" s="153"/>
      <c r="AL354" s="151"/>
      <c r="AM354" s="151"/>
      <c r="AN354" s="151"/>
      <c r="AO354" s="151"/>
      <c r="AP354" s="151"/>
      <c r="AQ354" s="151"/>
      <c r="AR354" s="151"/>
    </row>
    <row r="355">
      <c r="A355" s="153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234" t="s">
        <v>57</v>
      </c>
      <c r="U355" s="235">
        <f>'2023'!P186</f>
        <v>622562</v>
      </c>
      <c r="V355" s="235">
        <v>513708.18</v>
      </c>
      <c r="W355" s="236">
        <f t="shared" si="14"/>
        <v>0.1748481597</v>
      </c>
      <c r="X355" s="153"/>
      <c r="Y355" s="232" t="s">
        <v>56</v>
      </c>
      <c r="Z355" s="233">
        <f>AB344</f>
        <v>316645.23</v>
      </c>
      <c r="AA355" s="153"/>
      <c r="AB355" s="153"/>
      <c r="AC355" s="153"/>
      <c r="AD355" s="153"/>
      <c r="AE355" s="153"/>
      <c r="AF355" s="153"/>
      <c r="AG355" s="153"/>
      <c r="AH355" s="153"/>
      <c r="AI355" s="153"/>
      <c r="AL355" s="151"/>
      <c r="AM355" s="151"/>
      <c r="AN355" s="151"/>
      <c r="AO355" s="151"/>
      <c r="AP355" s="151"/>
      <c r="AQ355" s="151"/>
      <c r="AR355" s="151"/>
    </row>
    <row r="356">
      <c r="A356" s="153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234" t="s">
        <v>59</v>
      </c>
      <c r="U356" s="235">
        <f>'2023'!P216</f>
        <v>888831</v>
      </c>
      <c r="V356" s="235">
        <v>584273.9821</v>
      </c>
      <c r="W356" s="236">
        <f t="shared" si="14"/>
        <v>0.3426489602</v>
      </c>
      <c r="X356" s="153"/>
      <c r="Y356" s="232" t="s">
        <v>28</v>
      </c>
      <c r="Z356" s="233">
        <f>AC344</f>
        <v>796921.5721</v>
      </c>
      <c r="AA356" s="153"/>
      <c r="AB356" s="153"/>
      <c r="AC356" s="153"/>
      <c r="AD356" s="153"/>
      <c r="AE356" s="153"/>
      <c r="AF356" s="153"/>
      <c r="AG356" s="153"/>
      <c r="AH356" s="153"/>
      <c r="AI356" s="153"/>
      <c r="AL356" s="151"/>
      <c r="AM356" s="151"/>
      <c r="AN356" s="151"/>
      <c r="AO356" s="151"/>
      <c r="AP356" s="151"/>
      <c r="AQ356" s="151"/>
      <c r="AR356" s="151"/>
    </row>
    <row r="357">
      <c r="A357" s="153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234" t="s">
        <v>60</v>
      </c>
      <c r="U357" s="235">
        <f>'2023'!P247</f>
        <v>695812</v>
      </c>
      <c r="V357" s="235">
        <v>916549.0</v>
      </c>
      <c r="W357" s="236">
        <f t="shared" si="14"/>
        <v>-0.3172365524</v>
      </c>
      <c r="X357" s="153"/>
      <c r="Y357" s="232" t="s">
        <v>29</v>
      </c>
      <c r="Z357" s="233">
        <f>AD344</f>
        <v>178318</v>
      </c>
      <c r="AA357" s="153"/>
      <c r="AB357" s="153"/>
      <c r="AC357" s="153"/>
      <c r="AD357" s="153"/>
      <c r="AE357" s="153"/>
      <c r="AF357" s="153"/>
      <c r="AG357" s="153"/>
      <c r="AH357" s="153"/>
      <c r="AI357" s="153"/>
      <c r="AL357" s="151"/>
      <c r="AM357" s="151"/>
      <c r="AN357" s="151"/>
      <c r="AO357" s="151"/>
      <c r="AP357" s="151"/>
      <c r="AQ357" s="151"/>
      <c r="AR357" s="151"/>
    </row>
    <row r="358">
      <c r="A358" s="153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234" t="s">
        <v>61</v>
      </c>
      <c r="U358" s="235">
        <f>'2023'!P279</f>
        <v>803069</v>
      </c>
      <c r="V358" s="235">
        <v>920660.8899999999</v>
      </c>
      <c r="W358" s="236">
        <f t="shared" si="14"/>
        <v>-0.1464281276</v>
      </c>
      <c r="X358" s="153"/>
      <c r="Y358" s="232" t="s">
        <v>30</v>
      </c>
      <c r="Z358" s="233">
        <f>AE344</f>
        <v>45748</v>
      </c>
      <c r="AA358" s="153"/>
      <c r="AB358" s="153"/>
      <c r="AC358" s="153"/>
      <c r="AD358" s="153"/>
      <c r="AE358" s="153"/>
      <c r="AF358" s="153"/>
      <c r="AG358" s="153"/>
      <c r="AH358" s="153"/>
      <c r="AI358" s="153"/>
      <c r="AL358" s="151"/>
      <c r="AM358" s="151"/>
      <c r="AN358" s="151"/>
      <c r="AO358" s="151"/>
      <c r="AP358" s="151"/>
      <c r="AQ358" s="151"/>
      <c r="AR358" s="151"/>
    </row>
    <row r="359">
      <c r="A359" s="153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234" t="s">
        <v>62</v>
      </c>
      <c r="U359" s="235">
        <f>'2023'!P309</f>
        <v>630812</v>
      </c>
      <c r="V359" s="235">
        <v>571325.27</v>
      </c>
      <c r="W359" s="236">
        <f t="shared" si="14"/>
        <v>0.09430183636</v>
      </c>
      <c r="X359" s="153"/>
      <c r="Y359" s="232" t="s">
        <v>31</v>
      </c>
      <c r="Z359" s="233">
        <f>AF344</f>
        <v>220342</v>
      </c>
      <c r="AA359" s="153"/>
      <c r="AB359" s="153"/>
      <c r="AC359" s="153"/>
      <c r="AD359" s="153"/>
      <c r="AE359" s="153"/>
      <c r="AF359" s="153"/>
      <c r="AG359" s="153"/>
      <c r="AH359" s="153"/>
      <c r="AI359" s="153"/>
      <c r="AL359" s="151"/>
      <c r="AM359" s="151"/>
      <c r="AN359" s="151"/>
      <c r="AO359" s="151"/>
      <c r="AP359" s="151"/>
      <c r="AQ359" s="151"/>
      <c r="AR359" s="151"/>
    </row>
    <row r="360">
      <c r="A360" s="153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234" t="s">
        <v>64</v>
      </c>
      <c r="U360" s="235">
        <f>'2023'!P340</f>
        <v>1218006</v>
      </c>
      <c r="V360" s="235">
        <v>498083.9</v>
      </c>
      <c r="W360" s="236">
        <f t="shared" si="14"/>
        <v>0.591066136</v>
      </c>
      <c r="X360" s="153"/>
      <c r="Y360" s="232" t="s">
        <v>58</v>
      </c>
      <c r="Z360" s="233">
        <f>AG344</f>
        <v>282590</v>
      </c>
      <c r="AA360" s="153"/>
      <c r="AB360" s="153"/>
      <c r="AC360" s="153"/>
      <c r="AD360" s="153"/>
      <c r="AE360" s="153"/>
      <c r="AF360" s="153"/>
      <c r="AG360" s="153"/>
      <c r="AH360" s="153"/>
      <c r="AI360" s="153"/>
      <c r="AL360" s="151"/>
      <c r="AM360" s="151"/>
      <c r="AN360" s="151"/>
      <c r="AO360" s="151"/>
      <c r="AP360" s="151"/>
      <c r="AQ360" s="151"/>
      <c r="AR360" s="151"/>
    </row>
    <row r="361">
      <c r="A361" s="153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290" t="s">
        <v>69</v>
      </c>
      <c r="U361" s="235">
        <f t="shared" ref="U361:V361" si="15">SUM(U349:U360)</f>
        <v>9391875</v>
      </c>
      <c r="V361" s="235">
        <f t="shared" si="15"/>
        <v>6473008.922</v>
      </c>
      <c r="W361" s="236">
        <f t="shared" si="14"/>
        <v>0.3107862996</v>
      </c>
      <c r="X361" s="153"/>
      <c r="Y361" s="232" t="s">
        <v>33</v>
      </c>
      <c r="Z361" s="233">
        <f>AH344</f>
        <v>596114.57</v>
      </c>
      <c r="AA361" s="153"/>
      <c r="AB361" s="153"/>
      <c r="AC361" s="153"/>
      <c r="AD361" s="153"/>
      <c r="AE361" s="153"/>
      <c r="AF361" s="153"/>
      <c r="AG361" s="153"/>
      <c r="AH361" s="153"/>
      <c r="AI361" s="153"/>
      <c r="AL361" s="151"/>
      <c r="AM361" s="151"/>
      <c r="AN361" s="151"/>
      <c r="AO361" s="151"/>
      <c r="AP361" s="151"/>
      <c r="AQ361" s="151"/>
      <c r="AR361" s="151"/>
    </row>
    <row r="362">
      <c r="A362" s="153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  <c r="AD362" s="153"/>
      <c r="AE362" s="153"/>
      <c r="AF362" s="153"/>
      <c r="AG362" s="153"/>
      <c r="AH362" s="153"/>
      <c r="AI362" s="153"/>
      <c r="AL362" s="151"/>
      <c r="AM362" s="151"/>
      <c r="AN362" s="151"/>
      <c r="AO362" s="151"/>
      <c r="AP362" s="151"/>
      <c r="AQ362" s="151"/>
      <c r="AR362" s="151"/>
    </row>
    <row r="363">
      <c r="A363" s="153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3"/>
      <c r="AL363" s="151"/>
      <c r="AM363" s="151"/>
      <c r="AN363" s="151"/>
      <c r="AO363" s="151"/>
      <c r="AP363" s="151"/>
      <c r="AQ363" s="151"/>
      <c r="AR363" s="151"/>
    </row>
    <row r="364">
      <c r="A364" s="153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3"/>
      <c r="AJ364" s="153"/>
      <c r="AK364" s="151"/>
      <c r="AL364" s="151"/>
      <c r="AM364" s="151"/>
      <c r="AN364" s="151"/>
      <c r="AO364" s="151"/>
      <c r="AP364" s="151"/>
      <c r="AQ364" s="151"/>
      <c r="AR364" s="151"/>
    </row>
    <row r="365">
      <c r="A365" s="153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308" t="s">
        <v>34</v>
      </c>
      <c r="U365" s="309">
        <f>U361</f>
        <v>9391875</v>
      </c>
      <c r="V365" s="153"/>
      <c r="W365" s="153"/>
      <c r="X365" s="153"/>
      <c r="Y365" s="153"/>
      <c r="Z365" s="153"/>
      <c r="AA365" s="153"/>
      <c r="AB365" s="153"/>
      <c r="AC365" s="153"/>
      <c r="AD365" s="153"/>
      <c r="AE365" s="153"/>
      <c r="AF365" s="153"/>
      <c r="AG365" s="153"/>
      <c r="AH365" s="153"/>
      <c r="AI365" s="153"/>
      <c r="AJ365" s="153"/>
      <c r="AK365" s="151"/>
      <c r="AL365" s="151"/>
      <c r="AM365" s="151"/>
      <c r="AN365" s="151"/>
      <c r="AO365" s="151"/>
      <c r="AP365" s="151"/>
      <c r="AQ365" s="151"/>
      <c r="AR365" s="151"/>
    </row>
    <row r="366">
      <c r="A366" s="153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313" t="s">
        <v>13</v>
      </c>
      <c r="U366" s="309">
        <f>V361</f>
        <v>6473008.922</v>
      </c>
      <c r="V366" s="153"/>
      <c r="W366" s="153"/>
      <c r="X366" s="153"/>
      <c r="Y366" s="153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3"/>
      <c r="AJ366" s="153"/>
      <c r="AK366" s="151"/>
      <c r="AL366" s="151"/>
      <c r="AM366" s="151"/>
      <c r="AN366" s="151"/>
      <c r="AO366" s="151"/>
      <c r="AP366" s="151"/>
      <c r="AQ366" s="151"/>
      <c r="AR366" s="151"/>
    </row>
    <row r="367">
      <c r="A367" s="153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313" t="s">
        <v>93</v>
      </c>
      <c r="U367" s="314">
        <f>(U365-U366)</f>
        <v>2918866.078</v>
      </c>
      <c r="V367" s="153"/>
      <c r="W367" s="153"/>
      <c r="X367" s="153"/>
      <c r="Y367" s="153"/>
      <c r="Z367" s="153"/>
      <c r="AA367" s="153"/>
      <c r="AB367" s="153"/>
      <c r="AC367" s="153"/>
      <c r="AD367" s="153"/>
      <c r="AE367" s="153"/>
      <c r="AF367" s="153"/>
      <c r="AG367" s="153"/>
      <c r="AH367" s="153"/>
      <c r="AI367" s="153"/>
      <c r="AJ367" s="153"/>
      <c r="AK367" s="151"/>
      <c r="AL367" s="151"/>
      <c r="AM367" s="151"/>
      <c r="AN367" s="151"/>
      <c r="AO367" s="151"/>
      <c r="AP367" s="151"/>
      <c r="AQ367" s="151"/>
      <c r="AR367" s="151"/>
    </row>
    <row r="368">
      <c r="A368" s="153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1"/>
      <c r="AL368" s="151"/>
      <c r="AM368" s="151"/>
      <c r="AN368" s="151"/>
      <c r="AO368" s="151"/>
      <c r="AP368" s="151"/>
      <c r="AQ368" s="151"/>
      <c r="AR368" s="151"/>
    </row>
    <row r="369">
      <c r="A369" s="153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  <c r="AD369" s="153"/>
      <c r="AE369" s="153"/>
      <c r="AF369" s="153"/>
      <c r="AG369" s="153"/>
      <c r="AH369" s="153"/>
      <c r="AI369" s="153"/>
      <c r="AJ369" s="153"/>
      <c r="AK369" s="151"/>
      <c r="AL369" s="151"/>
      <c r="AM369" s="151"/>
      <c r="AN369" s="151"/>
      <c r="AO369" s="151"/>
      <c r="AP369" s="151"/>
      <c r="AQ369" s="151"/>
      <c r="AR369" s="151"/>
    </row>
    <row r="370">
      <c r="A370" s="153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  <c r="AD370" s="153"/>
      <c r="AE370" s="153"/>
      <c r="AF370" s="153"/>
      <c r="AG370" s="153"/>
      <c r="AH370" s="153"/>
      <c r="AI370" s="153"/>
      <c r="AJ370" s="153"/>
      <c r="AK370" s="151"/>
      <c r="AL370" s="151"/>
      <c r="AM370" s="151"/>
      <c r="AN370" s="151"/>
      <c r="AO370" s="151"/>
      <c r="AP370" s="151"/>
      <c r="AQ370" s="151"/>
      <c r="AR370" s="151"/>
    </row>
    <row r="371">
      <c r="A371" s="153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1"/>
      <c r="AL371" s="151"/>
      <c r="AM371" s="151"/>
      <c r="AN371" s="151"/>
      <c r="AO371" s="151"/>
      <c r="AP371" s="151"/>
      <c r="AQ371" s="151"/>
      <c r="AR371" s="151"/>
    </row>
    <row r="372">
      <c r="A372" s="153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  <c r="AD372" s="153"/>
      <c r="AE372" s="153"/>
      <c r="AF372" s="153"/>
      <c r="AG372" s="153"/>
      <c r="AH372" s="153"/>
      <c r="AI372" s="153"/>
      <c r="AJ372" s="153"/>
      <c r="AK372" s="151"/>
      <c r="AL372" s="151"/>
      <c r="AM372" s="151"/>
      <c r="AN372" s="151"/>
      <c r="AO372" s="151"/>
      <c r="AP372" s="151"/>
      <c r="AQ372" s="151"/>
      <c r="AR372" s="151"/>
    </row>
    <row r="373">
      <c r="A373" s="153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1"/>
      <c r="AL373" s="151"/>
      <c r="AM373" s="151"/>
      <c r="AN373" s="151"/>
      <c r="AO373" s="151"/>
      <c r="AP373" s="151"/>
      <c r="AQ373" s="151"/>
      <c r="AR373" s="151"/>
    </row>
    <row r="374">
      <c r="A374" s="153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/>
      <c r="AH374" s="153"/>
      <c r="AI374" s="153"/>
      <c r="AJ374" s="153"/>
      <c r="AK374" s="151"/>
      <c r="AL374" s="151"/>
      <c r="AM374" s="151"/>
      <c r="AN374" s="151"/>
      <c r="AO374" s="151"/>
      <c r="AP374" s="151"/>
      <c r="AQ374" s="151"/>
      <c r="AR374" s="151"/>
    </row>
    <row r="375">
      <c r="A375" s="153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  <c r="AD375" s="153"/>
      <c r="AE375" s="153"/>
      <c r="AF375" s="153"/>
      <c r="AG375" s="153"/>
      <c r="AH375" s="153"/>
      <c r="AI375" s="153"/>
      <c r="AJ375" s="153"/>
      <c r="AK375" s="151"/>
      <c r="AL375" s="151"/>
      <c r="AM375" s="151"/>
      <c r="AN375" s="151"/>
      <c r="AO375" s="151"/>
      <c r="AP375" s="151"/>
      <c r="AQ375" s="151"/>
      <c r="AR375" s="151"/>
    </row>
    <row r="376">
      <c r="A376" s="153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  <c r="AD376" s="153"/>
      <c r="AE376" s="153"/>
      <c r="AF376" s="153"/>
      <c r="AG376" s="153"/>
      <c r="AH376" s="153"/>
      <c r="AI376" s="153"/>
      <c r="AJ376" s="153"/>
      <c r="AK376" s="151"/>
      <c r="AL376" s="151"/>
      <c r="AM376" s="151"/>
      <c r="AN376" s="151"/>
      <c r="AO376" s="151"/>
      <c r="AP376" s="151"/>
      <c r="AQ376" s="151"/>
      <c r="AR376" s="151"/>
    </row>
    <row r="377">
      <c r="A377" s="153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/>
      <c r="AF377" s="153"/>
      <c r="AG377" s="153"/>
      <c r="AH377" s="153"/>
      <c r="AI377" s="153"/>
      <c r="AJ377" s="153"/>
      <c r="AK377" s="151"/>
      <c r="AL377" s="151"/>
      <c r="AM377" s="151"/>
      <c r="AN377" s="151"/>
      <c r="AO377" s="151"/>
      <c r="AP377" s="151"/>
      <c r="AQ377" s="151"/>
      <c r="AR377" s="151"/>
    </row>
    <row r="378">
      <c r="A378" s="153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3"/>
      <c r="AH378" s="153"/>
      <c r="AI378" s="153"/>
      <c r="AJ378" s="153"/>
      <c r="AK378" s="151"/>
      <c r="AL378" s="151"/>
      <c r="AM378" s="151"/>
      <c r="AN378" s="151"/>
      <c r="AO378" s="151"/>
      <c r="AP378" s="151"/>
      <c r="AQ378" s="151"/>
      <c r="AR378" s="151"/>
    </row>
    <row r="379">
      <c r="A379" s="153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  <c r="Z379" s="153"/>
      <c r="AA379" s="153"/>
      <c r="AB379" s="153"/>
      <c r="AC379" s="153"/>
      <c r="AD379" s="153"/>
      <c r="AE379" s="153"/>
      <c r="AF379" s="153"/>
      <c r="AG379" s="153"/>
      <c r="AH379" s="153"/>
      <c r="AI379" s="153"/>
      <c r="AJ379" s="153"/>
      <c r="AK379" s="151"/>
      <c r="AL379" s="151"/>
      <c r="AM379" s="151"/>
      <c r="AN379" s="151"/>
      <c r="AO379" s="151"/>
      <c r="AP379" s="151"/>
      <c r="AQ379" s="151"/>
      <c r="AR379" s="151"/>
    </row>
    <row r="380">
      <c r="A380" s="153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  <c r="Z380" s="153"/>
      <c r="AA380" s="153"/>
      <c r="AB380" s="153"/>
      <c r="AC380" s="153"/>
      <c r="AD380" s="153"/>
      <c r="AE380" s="153"/>
      <c r="AF380" s="153"/>
      <c r="AG380" s="153"/>
      <c r="AH380" s="153"/>
      <c r="AI380" s="153"/>
      <c r="AJ380" s="153"/>
      <c r="AK380" s="151"/>
      <c r="AL380" s="151"/>
      <c r="AM380" s="151"/>
      <c r="AN380" s="151"/>
      <c r="AO380" s="151"/>
      <c r="AP380" s="151"/>
      <c r="AQ380" s="151"/>
      <c r="AR380" s="151"/>
    </row>
    <row r="381">
      <c r="A381" s="153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  <c r="Z381" s="153"/>
      <c r="AA381" s="153"/>
      <c r="AB381" s="153"/>
      <c r="AC381" s="153"/>
      <c r="AD381" s="153"/>
      <c r="AE381" s="153"/>
      <c r="AF381" s="153"/>
      <c r="AG381" s="153"/>
      <c r="AH381" s="153"/>
      <c r="AI381" s="153"/>
      <c r="AJ381" s="153"/>
      <c r="AK381" s="151"/>
      <c r="AL381" s="151"/>
      <c r="AM381" s="151"/>
      <c r="AN381" s="151"/>
      <c r="AO381" s="151"/>
      <c r="AP381" s="151"/>
      <c r="AQ381" s="151"/>
      <c r="AR381" s="151"/>
    </row>
    <row r="382">
      <c r="A382" s="153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  <c r="Z382" s="153"/>
      <c r="AA382" s="153"/>
      <c r="AB382" s="153"/>
      <c r="AC382" s="153"/>
      <c r="AD382" s="153"/>
      <c r="AE382" s="153"/>
      <c r="AF382" s="153"/>
      <c r="AG382" s="153"/>
      <c r="AH382" s="153"/>
      <c r="AI382" s="153"/>
      <c r="AJ382" s="153"/>
      <c r="AK382" s="151"/>
      <c r="AL382" s="151"/>
      <c r="AM382" s="151"/>
      <c r="AN382" s="151"/>
      <c r="AO382" s="151"/>
      <c r="AP382" s="151"/>
      <c r="AQ382" s="151"/>
      <c r="AR382" s="151"/>
    </row>
    <row r="383">
      <c r="A383" s="153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  <c r="Z383" s="153"/>
      <c r="AA383" s="153"/>
      <c r="AB383" s="153"/>
      <c r="AC383" s="153"/>
      <c r="AD383" s="153"/>
      <c r="AE383" s="153"/>
      <c r="AF383" s="153"/>
      <c r="AG383" s="153"/>
      <c r="AH383" s="153"/>
      <c r="AI383" s="153"/>
      <c r="AJ383" s="153"/>
      <c r="AK383" s="151"/>
      <c r="AL383" s="151"/>
      <c r="AM383" s="151"/>
      <c r="AN383" s="151"/>
      <c r="AO383" s="151"/>
      <c r="AP383" s="151"/>
      <c r="AQ383" s="151"/>
      <c r="AR383" s="151"/>
    </row>
    <row r="384">
      <c r="A384" s="153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  <c r="Z384" s="153"/>
      <c r="AA384" s="153"/>
      <c r="AB384" s="153"/>
      <c r="AC384" s="153"/>
      <c r="AD384" s="153"/>
      <c r="AE384" s="153"/>
      <c r="AF384" s="153"/>
      <c r="AG384" s="153"/>
      <c r="AH384" s="153"/>
      <c r="AI384" s="153"/>
      <c r="AJ384" s="153"/>
      <c r="AK384" s="151"/>
      <c r="AL384" s="151"/>
      <c r="AM384" s="151"/>
      <c r="AN384" s="151"/>
      <c r="AO384" s="151"/>
      <c r="AP384" s="151"/>
      <c r="AQ384" s="151"/>
      <c r="AR384" s="151"/>
    </row>
    <row r="385">
      <c r="A385" s="153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  <c r="Z385" s="153"/>
      <c r="AA385" s="153"/>
      <c r="AB385" s="153"/>
      <c r="AC385" s="153"/>
      <c r="AD385" s="153"/>
      <c r="AE385" s="153"/>
      <c r="AF385" s="153"/>
      <c r="AG385" s="153"/>
      <c r="AH385" s="153"/>
      <c r="AI385" s="153"/>
      <c r="AJ385" s="153"/>
      <c r="AK385" s="151"/>
      <c r="AL385" s="151"/>
      <c r="AM385" s="151"/>
      <c r="AN385" s="151"/>
      <c r="AO385" s="151"/>
      <c r="AP385" s="151"/>
      <c r="AQ385" s="151"/>
      <c r="AR385" s="151"/>
    </row>
    <row r="386">
      <c r="A386" s="153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  <c r="Z386" s="153"/>
      <c r="AA386" s="153"/>
      <c r="AB386" s="153"/>
      <c r="AC386" s="153"/>
      <c r="AD386" s="153"/>
      <c r="AE386" s="153"/>
      <c r="AF386" s="153"/>
      <c r="AG386" s="153"/>
      <c r="AH386" s="153"/>
      <c r="AI386" s="153"/>
      <c r="AJ386" s="153"/>
      <c r="AK386" s="151"/>
      <c r="AL386" s="151"/>
      <c r="AM386" s="151"/>
      <c r="AN386" s="151"/>
      <c r="AO386" s="151"/>
      <c r="AP386" s="151"/>
      <c r="AQ386" s="151"/>
      <c r="AR386" s="151"/>
    </row>
    <row r="387">
      <c r="A387" s="153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  <c r="Z387" s="153"/>
      <c r="AA387" s="153"/>
      <c r="AB387" s="153"/>
      <c r="AC387" s="153"/>
      <c r="AD387" s="153"/>
      <c r="AE387" s="153"/>
      <c r="AF387" s="153"/>
      <c r="AG387" s="153"/>
      <c r="AH387" s="153"/>
      <c r="AI387" s="153"/>
      <c r="AJ387" s="153"/>
      <c r="AK387" s="151"/>
      <c r="AL387" s="151"/>
      <c r="AM387" s="151"/>
      <c r="AN387" s="151"/>
      <c r="AO387" s="151"/>
      <c r="AP387" s="151"/>
      <c r="AQ387" s="151"/>
      <c r="AR387" s="151"/>
    </row>
    <row r="388">
      <c r="A388" s="153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  <c r="AD388" s="153"/>
      <c r="AE388" s="153"/>
      <c r="AF388" s="153"/>
      <c r="AG388" s="153"/>
      <c r="AH388" s="153"/>
      <c r="AI388" s="153"/>
      <c r="AJ388" s="153"/>
      <c r="AK388" s="151"/>
      <c r="AL388" s="151"/>
      <c r="AM388" s="151"/>
      <c r="AN388" s="151"/>
      <c r="AO388" s="151"/>
      <c r="AP388" s="151"/>
      <c r="AQ388" s="151"/>
      <c r="AR388" s="151"/>
    </row>
    <row r="389">
      <c r="A389" s="153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  <c r="Z389" s="153"/>
      <c r="AA389" s="153"/>
      <c r="AB389" s="153"/>
      <c r="AC389" s="153"/>
      <c r="AD389" s="153"/>
      <c r="AE389" s="153"/>
      <c r="AF389" s="153"/>
      <c r="AG389" s="153"/>
      <c r="AH389" s="153"/>
      <c r="AI389" s="153"/>
      <c r="AJ389" s="153"/>
      <c r="AK389" s="151"/>
      <c r="AL389" s="151"/>
      <c r="AM389" s="151"/>
      <c r="AN389" s="151"/>
      <c r="AO389" s="151"/>
      <c r="AP389" s="151"/>
      <c r="AQ389" s="151"/>
      <c r="AR389" s="151"/>
    </row>
    <row r="390">
      <c r="A390" s="153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1"/>
      <c r="AL390" s="151"/>
      <c r="AM390" s="151"/>
      <c r="AN390" s="151"/>
      <c r="AO390" s="151"/>
      <c r="AP390" s="151"/>
      <c r="AQ390" s="151"/>
      <c r="AR390" s="151"/>
    </row>
    <row r="391">
      <c r="A391" s="153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  <c r="Z391" s="153"/>
      <c r="AA391" s="153"/>
      <c r="AB391" s="153"/>
      <c r="AC391" s="153"/>
      <c r="AD391" s="153"/>
      <c r="AE391" s="153"/>
      <c r="AF391" s="153"/>
      <c r="AG391" s="153"/>
      <c r="AH391" s="153"/>
      <c r="AI391" s="153"/>
      <c r="AJ391" s="153"/>
      <c r="AK391" s="151"/>
      <c r="AL391" s="151"/>
      <c r="AM391" s="151"/>
      <c r="AN391" s="151"/>
      <c r="AO391" s="151"/>
      <c r="AP391" s="151"/>
      <c r="AQ391" s="151"/>
      <c r="AR391" s="151"/>
    </row>
    <row r="392">
      <c r="A392" s="153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53"/>
      <c r="AI392" s="153"/>
      <c r="AJ392" s="153"/>
      <c r="AK392" s="151"/>
      <c r="AL392" s="151"/>
      <c r="AM392" s="151"/>
      <c r="AN392" s="151"/>
      <c r="AO392" s="151"/>
      <c r="AP392" s="151"/>
      <c r="AQ392" s="151"/>
      <c r="AR392" s="151"/>
    </row>
    <row r="393">
      <c r="A393" s="153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53"/>
      <c r="AI393" s="153"/>
      <c r="AJ393" s="153"/>
      <c r="AK393" s="151"/>
      <c r="AL393" s="151"/>
      <c r="AM393" s="151"/>
      <c r="AN393" s="151"/>
      <c r="AO393" s="151"/>
      <c r="AP393" s="151"/>
      <c r="AQ393" s="151"/>
      <c r="AR393" s="151"/>
    </row>
    <row r="394">
      <c r="A394" s="153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  <c r="Z394" s="153"/>
      <c r="AA394" s="153"/>
      <c r="AB394" s="153"/>
      <c r="AC394" s="153"/>
      <c r="AD394" s="153"/>
      <c r="AE394" s="153"/>
      <c r="AF394" s="153"/>
      <c r="AG394" s="153"/>
      <c r="AH394" s="153"/>
      <c r="AI394" s="153"/>
      <c r="AJ394" s="153"/>
      <c r="AK394" s="151"/>
      <c r="AL394" s="151"/>
      <c r="AM394" s="151"/>
      <c r="AN394" s="151"/>
      <c r="AO394" s="151"/>
      <c r="AP394" s="151"/>
      <c r="AQ394" s="151"/>
      <c r="AR394" s="151"/>
    </row>
    <row r="395">
      <c r="A395" s="153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  <c r="Z395" s="153"/>
      <c r="AA395" s="153"/>
      <c r="AB395" s="153"/>
      <c r="AC395" s="153"/>
      <c r="AD395" s="153"/>
      <c r="AE395" s="153"/>
      <c r="AF395" s="153"/>
      <c r="AG395" s="153"/>
      <c r="AH395" s="153"/>
      <c r="AI395" s="153"/>
      <c r="AJ395" s="153"/>
      <c r="AK395" s="151"/>
      <c r="AL395" s="151"/>
      <c r="AM395" s="151"/>
      <c r="AN395" s="151"/>
      <c r="AO395" s="151"/>
      <c r="AP395" s="151"/>
      <c r="AQ395" s="151"/>
      <c r="AR395" s="151"/>
    </row>
    <row r="396">
      <c r="A396" s="153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  <c r="Z396" s="153"/>
      <c r="AA396" s="153"/>
      <c r="AB396" s="153"/>
      <c r="AC396" s="153"/>
      <c r="AD396" s="153"/>
      <c r="AE396" s="153"/>
      <c r="AF396" s="153"/>
      <c r="AG396" s="153"/>
      <c r="AH396" s="153"/>
      <c r="AI396" s="153"/>
      <c r="AJ396" s="153"/>
      <c r="AK396" s="151"/>
      <c r="AL396" s="151"/>
      <c r="AM396" s="151"/>
      <c r="AN396" s="151"/>
      <c r="AO396" s="151"/>
      <c r="AP396" s="151"/>
      <c r="AQ396" s="151"/>
      <c r="AR396" s="151"/>
    </row>
    <row r="397">
      <c r="A397" s="153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  <c r="Z397" s="153"/>
      <c r="AA397" s="153"/>
      <c r="AB397" s="153"/>
      <c r="AC397" s="153"/>
      <c r="AD397" s="153"/>
      <c r="AE397" s="153"/>
      <c r="AF397" s="153"/>
      <c r="AG397" s="153"/>
      <c r="AH397" s="153"/>
      <c r="AI397" s="153"/>
      <c r="AJ397" s="153"/>
      <c r="AK397" s="151"/>
      <c r="AL397" s="151"/>
      <c r="AM397" s="151"/>
      <c r="AN397" s="151"/>
      <c r="AO397" s="151"/>
      <c r="AP397" s="151"/>
      <c r="AQ397" s="151"/>
      <c r="AR397" s="151"/>
    </row>
    <row r="398">
      <c r="A398" s="153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  <c r="AD398" s="153"/>
      <c r="AE398" s="153"/>
      <c r="AF398" s="153"/>
      <c r="AG398" s="153"/>
      <c r="AH398" s="153"/>
      <c r="AI398" s="153"/>
      <c r="AJ398" s="153"/>
      <c r="AK398" s="151"/>
      <c r="AL398" s="151"/>
      <c r="AM398" s="151"/>
      <c r="AN398" s="151"/>
      <c r="AO398" s="151"/>
      <c r="AP398" s="151"/>
      <c r="AQ398" s="151"/>
      <c r="AR398" s="151"/>
    </row>
    <row r="399">
      <c r="A399" s="153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  <c r="Z399" s="153"/>
      <c r="AA399" s="153"/>
      <c r="AB399" s="153"/>
      <c r="AC399" s="153"/>
      <c r="AD399" s="153"/>
      <c r="AE399" s="153"/>
      <c r="AF399" s="153"/>
      <c r="AG399" s="153"/>
      <c r="AH399" s="153"/>
      <c r="AI399" s="153"/>
      <c r="AJ399" s="153"/>
      <c r="AK399" s="151"/>
      <c r="AL399" s="151"/>
      <c r="AM399" s="151"/>
      <c r="AN399" s="151"/>
      <c r="AO399" s="151"/>
      <c r="AP399" s="151"/>
      <c r="AQ399" s="151"/>
      <c r="AR399" s="151"/>
    </row>
    <row r="400">
      <c r="A400" s="153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  <c r="Z400" s="153"/>
      <c r="AA400" s="153"/>
      <c r="AB400" s="153"/>
      <c r="AC400" s="153"/>
      <c r="AD400" s="153"/>
      <c r="AE400" s="153"/>
      <c r="AF400" s="153"/>
      <c r="AG400" s="153"/>
      <c r="AH400" s="153"/>
      <c r="AI400" s="153"/>
      <c r="AJ400" s="153"/>
      <c r="AK400" s="151"/>
      <c r="AL400" s="151"/>
      <c r="AM400" s="151"/>
      <c r="AN400" s="151"/>
      <c r="AO400" s="151"/>
      <c r="AP400" s="151"/>
      <c r="AQ400" s="151"/>
      <c r="AR400" s="151"/>
    </row>
    <row r="401">
      <c r="A401" s="153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  <c r="Z401" s="153"/>
      <c r="AA401" s="153"/>
      <c r="AB401" s="153"/>
      <c r="AC401" s="153"/>
      <c r="AD401" s="153"/>
      <c r="AE401" s="153"/>
      <c r="AF401" s="153"/>
      <c r="AG401" s="153"/>
      <c r="AH401" s="153"/>
      <c r="AI401" s="153"/>
      <c r="AJ401" s="153"/>
      <c r="AK401" s="151"/>
      <c r="AL401" s="151"/>
      <c r="AM401" s="151"/>
      <c r="AN401" s="151"/>
      <c r="AO401" s="151"/>
      <c r="AP401" s="151"/>
      <c r="AQ401" s="151"/>
      <c r="AR401" s="151"/>
    </row>
    <row r="402">
      <c r="A402" s="153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  <c r="Z402" s="153"/>
      <c r="AA402" s="153"/>
      <c r="AB402" s="153"/>
      <c r="AC402" s="153"/>
      <c r="AD402" s="153"/>
      <c r="AE402" s="153"/>
      <c r="AF402" s="153"/>
      <c r="AG402" s="153"/>
      <c r="AH402" s="153"/>
      <c r="AI402" s="153"/>
      <c r="AJ402" s="153"/>
      <c r="AK402" s="151"/>
      <c r="AL402" s="151"/>
      <c r="AM402" s="151"/>
      <c r="AN402" s="151"/>
      <c r="AO402" s="151"/>
      <c r="AP402" s="151"/>
      <c r="AQ402" s="151"/>
      <c r="AR402" s="151"/>
    </row>
    <row r="403">
      <c r="A403" s="153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  <c r="Z403" s="153"/>
      <c r="AA403" s="153"/>
      <c r="AB403" s="153"/>
      <c r="AC403" s="153"/>
      <c r="AD403" s="153"/>
      <c r="AE403" s="153"/>
      <c r="AF403" s="153"/>
      <c r="AG403" s="153"/>
      <c r="AH403" s="153"/>
      <c r="AI403" s="153"/>
      <c r="AJ403" s="153"/>
      <c r="AK403" s="151"/>
      <c r="AL403" s="151"/>
      <c r="AM403" s="151"/>
      <c r="AN403" s="151"/>
      <c r="AO403" s="151"/>
      <c r="AP403" s="151"/>
      <c r="AQ403" s="151"/>
      <c r="AR403" s="151"/>
    </row>
    <row r="404">
      <c r="A404" s="153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  <c r="Z404" s="153"/>
      <c r="AA404" s="153"/>
      <c r="AB404" s="153"/>
      <c r="AC404" s="153"/>
      <c r="AD404" s="153"/>
      <c r="AE404" s="153"/>
      <c r="AF404" s="153"/>
      <c r="AG404" s="153"/>
      <c r="AH404" s="153"/>
      <c r="AI404" s="153"/>
      <c r="AJ404" s="153"/>
      <c r="AK404" s="151"/>
      <c r="AL404" s="151"/>
      <c r="AM404" s="151"/>
      <c r="AN404" s="151"/>
      <c r="AO404" s="151"/>
      <c r="AP404" s="151"/>
      <c r="AQ404" s="151"/>
      <c r="AR404" s="151"/>
    </row>
    <row r="405">
      <c r="A405" s="153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  <c r="Z405" s="153"/>
      <c r="AA405" s="153"/>
      <c r="AB405" s="153"/>
      <c r="AC405" s="153"/>
      <c r="AD405" s="153"/>
      <c r="AE405" s="153"/>
      <c r="AF405" s="153"/>
      <c r="AG405" s="153"/>
      <c r="AH405" s="153"/>
      <c r="AI405" s="153"/>
      <c r="AJ405" s="153"/>
      <c r="AK405" s="151"/>
      <c r="AL405" s="151"/>
      <c r="AM405" s="151"/>
      <c r="AN405" s="151"/>
      <c r="AO405" s="151"/>
      <c r="AP405" s="151"/>
      <c r="AQ405" s="151"/>
      <c r="AR405" s="151"/>
    </row>
    <row r="406">
      <c r="A406" s="153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  <c r="Z406" s="153"/>
      <c r="AA406" s="153"/>
      <c r="AB406" s="153"/>
      <c r="AC406" s="153"/>
      <c r="AD406" s="153"/>
      <c r="AE406" s="153"/>
      <c r="AF406" s="153"/>
      <c r="AG406" s="153"/>
      <c r="AH406" s="153"/>
      <c r="AI406" s="153"/>
      <c r="AJ406" s="153"/>
      <c r="AK406" s="151"/>
      <c r="AL406" s="151"/>
      <c r="AM406" s="151"/>
      <c r="AN406" s="151"/>
      <c r="AO406" s="151"/>
      <c r="AP406" s="151"/>
      <c r="AQ406" s="151"/>
      <c r="AR406" s="151"/>
    </row>
    <row r="407">
      <c r="A407" s="153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  <c r="Z407" s="153"/>
      <c r="AA407" s="153"/>
      <c r="AB407" s="153"/>
      <c r="AC407" s="153"/>
      <c r="AD407" s="153"/>
      <c r="AE407" s="153"/>
      <c r="AF407" s="153"/>
      <c r="AG407" s="153"/>
      <c r="AH407" s="153"/>
      <c r="AI407" s="153"/>
      <c r="AJ407" s="153"/>
      <c r="AK407" s="151"/>
      <c r="AL407" s="151"/>
      <c r="AM407" s="151"/>
      <c r="AN407" s="151"/>
      <c r="AO407" s="151"/>
      <c r="AP407" s="151"/>
      <c r="AQ407" s="151"/>
      <c r="AR407" s="151"/>
    </row>
    <row r="408">
      <c r="A408" s="153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  <c r="Z408" s="153"/>
      <c r="AA408" s="153"/>
      <c r="AB408" s="153"/>
      <c r="AC408" s="153"/>
      <c r="AD408" s="153"/>
      <c r="AE408" s="153"/>
      <c r="AF408" s="153"/>
      <c r="AG408" s="153"/>
      <c r="AH408" s="153"/>
      <c r="AI408" s="153"/>
      <c r="AJ408" s="153"/>
      <c r="AK408" s="151"/>
      <c r="AL408" s="151"/>
      <c r="AM408" s="151"/>
      <c r="AN408" s="151"/>
      <c r="AO408" s="151"/>
      <c r="AP408" s="151"/>
      <c r="AQ408" s="151"/>
      <c r="AR408" s="151"/>
    </row>
  </sheetData>
  <mergeCells count="1143">
    <mergeCell ref="F151:G151"/>
    <mergeCell ref="H151:I151"/>
    <mergeCell ref="J151:K151"/>
    <mergeCell ref="L151:M151"/>
    <mergeCell ref="H152:I152"/>
    <mergeCell ref="J152:K152"/>
    <mergeCell ref="L152:M152"/>
    <mergeCell ref="F152:G152"/>
    <mergeCell ref="F153:G153"/>
    <mergeCell ref="H153:I153"/>
    <mergeCell ref="J153:K153"/>
    <mergeCell ref="L153:M153"/>
    <mergeCell ref="F154:G154"/>
    <mergeCell ref="H154:I154"/>
    <mergeCell ref="F155:G155"/>
    <mergeCell ref="H155:I155"/>
    <mergeCell ref="J155:K155"/>
    <mergeCell ref="L155:M155"/>
    <mergeCell ref="H156:I156"/>
    <mergeCell ref="J156:K156"/>
    <mergeCell ref="L156:M156"/>
    <mergeCell ref="J158:K158"/>
    <mergeCell ref="L158:M158"/>
    <mergeCell ref="F156:G156"/>
    <mergeCell ref="F157:G157"/>
    <mergeCell ref="H157:I157"/>
    <mergeCell ref="J157:K157"/>
    <mergeCell ref="L157:M157"/>
    <mergeCell ref="F158:G158"/>
    <mergeCell ref="H158:I158"/>
    <mergeCell ref="F159:G159"/>
    <mergeCell ref="F160:G160"/>
    <mergeCell ref="H160:I160"/>
    <mergeCell ref="J160:K160"/>
    <mergeCell ref="L160:M160"/>
    <mergeCell ref="F161:G161"/>
    <mergeCell ref="H161:I161"/>
    <mergeCell ref="L166:M166"/>
    <mergeCell ref="N166:O166"/>
    <mergeCell ref="P166:P167"/>
    <mergeCell ref="Q166:Q167"/>
    <mergeCell ref="N167:O167"/>
    <mergeCell ref="F175:G175"/>
    <mergeCell ref="H175:I175"/>
    <mergeCell ref="J175:K175"/>
    <mergeCell ref="L175:M175"/>
    <mergeCell ref="H176:I176"/>
    <mergeCell ref="J176:K176"/>
    <mergeCell ref="L176:M176"/>
    <mergeCell ref="F176:G176"/>
    <mergeCell ref="F177:G177"/>
    <mergeCell ref="H177:I177"/>
    <mergeCell ref="J177:K177"/>
    <mergeCell ref="L177:M177"/>
    <mergeCell ref="F178:G178"/>
    <mergeCell ref="H178:I178"/>
    <mergeCell ref="J161:K161"/>
    <mergeCell ref="L161:M161"/>
    <mergeCell ref="I165:J165"/>
    <mergeCell ref="D166:F166"/>
    <mergeCell ref="G166:H167"/>
    <mergeCell ref="K166:K167"/>
    <mergeCell ref="D167:F167"/>
    <mergeCell ref="L167:M167"/>
    <mergeCell ref="I166:J166"/>
    <mergeCell ref="I167:J167"/>
    <mergeCell ref="D169:Q169"/>
    <mergeCell ref="F170:G170"/>
    <mergeCell ref="H170:I170"/>
    <mergeCell ref="J170:K170"/>
    <mergeCell ref="L170:M170"/>
    <mergeCell ref="F171:G171"/>
    <mergeCell ref="H171:I171"/>
    <mergeCell ref="J171:K171"/>
    <mergeCell ref="L171:M171"/>
    <mergeCell ref="H172:I172"/>
    <mergeCell ref="J172:K172"/>
    <mergeCell ref="L172:M172"/>
    <mergeCell ref="J174:K174"/>
    <mergeCell ref="L174:M174"/>
    <mergeCell ref="F172:G172"/>
    <mergeCell ref="F173:G173"/>
    <mergeCell ref="H173:I173"/>
    <mergeCell ref="J173:K173"/>
    <mergeCell ref="L173:M173"/>
    <mergeCell ref="F174:G174"/>
    <mergeCell ref="H174:I174"/>
    <mergeCell ref="J178:K178"/>
    <mergeCell ref="L178:M178"/>
    <mergeCell ref="J182:K182"/>
    <mergeCell ref="L182:M182"/>
    <mergeCell ref="F179:G179"/>
    <mergeCell ref="H179:I179"/>
    <mergeCell ref="J179:K179"/>
    <mergeCell ref="L179:M179"/>
    <mergeCell ref="H180:I180"/>
    <mergeCell ref="J180:K180"/>
    <mergeCell ref="L180:M180"/>
    <mergeCell ref="F180:G180"/>
    <mergeCell ref="F181:G181"/>
    <mergeCell ref="H181:I181"/>
    <mergeCell ref="J181:K181"/>
    <mergeCell ref="L181:M181"/>
    <mergeCell ref="F182:G182"/>
    <mergeCell ref="H182:I182"/>
    <mergeCell ref="F183:G183"/>
    <mergeCell ref="H183:I183"/>
    <mergeCell ref="J183:K183"/>
    <mergeCell ref="L183:M183"/>
    <mergeCell ref="H184:I184"/>
    <mergeCell ref="J184:K184"/>
    <mergeCell ref="L184:M184"/>
    <mergeCell ref="J186:K186"/>
    <mergeCell ref="L186:M186"/>
    <mergeCell ref="F184:G184"/>
    <mergeCell ref="F185:G185"/>
    <mergeCell ref="H185:I185"/>
    <mergeCell ref="J185:K185"/>
    <mergeCell ref="L185:M185"/>
    <mergeCell ref="F186:G186"/>
    <mergeCell ref="H186:I186"/>
    <mergeCell ref="F187:G187"/>
    <mergeCell ref="H187:I187"/>
    <mergeCell ref="J187:K187"/>
    <mergeCell ref="L187:M187"/>
    <mergeCell ref="F188:G188"/>
    <mergeCell ref="F189:G189"/>
    <mergeCell ref="H189:I189"/>
    <mergeCell ref="L196:M196"/>
    <mergeCell ref="N196:O196"/>
    <mergeCell ref="F190:G190"/>
    <mergeCell ref="H190:I190"/>
    <mergeCell ref="J190:K190"/>
    <mergeCell ref="L190:M190"/>
    <mergeCell ref="I196:J196"/>
    <mergeCell ref="I197:J197"/>
    <mergeCell ref="J189:K189"/>
    <mergeCell ref="L189:M189"/>
    <mergeCell ref="I195:J195"/>
    <mergeCell ref="D196:F196"/>
    <mergeCell ref="G196:H197"/>
    <mergeCell ref="K196:K197"/>
    <mergeCell ref="D197:F197"/>
    <mergeCell ref="L197:M197"/>
    <mergeCell ref="P196:P197"/>
    <mergeCell ref="Q196:Q197"/>
    <mergeCell ref="N197:O197"/>
    <mergeCell ref="D199:Q199"/>
    <mergeCell ref="H200:I200"/>
    <mergeCell ref="J200:K200"/>
    <mergeCell ref="L200:M200"/>
    <mergeCell ref="J202:K202"/>
    <mergeCell ref="L202:M202"/>
    <mergeCell ref="F200:G200"/>
    <mergeCell ref="F201:G201"/>
    <mergeCell ref="H201:I201"/>
    <mergeCell ref="J201:K201"/>
    <mergeCell ref="L201:M201"/>
    <mergeCell ref="F202:G202"/>
    <mergeCell ref="H202:I202"/>
    <mergeCell ref="J206:K206"/>
    <mergeCell ref="L206:M206"/>
    <mergeCell ref="F211:G211"/>
    <mergeCell ref="H211:I211"/>
    <mergeCell ref="J211:K211"/>
    <mergeCell ref="L211:M211"/>
    <mergeCell ref="H212:I212"/>
    <mergeCell ref="J212:K212"/>
    <mergeCell ref="L212:M212"/>
    <mergeCell ref="F212:G212"/>
    <mergeCell ref="F213:G213"/>
    <mergeCell ref="H213:I213"/>
    <mergeCell ref="J213:K213"/>
    <mergeCell ref="L213:M213"/>
    <mergeCell ref="F214:G214"/>
    <mergeCell ref="H214:I214"/>
    <mergeCell ref="F245:G245"/>
    <mergeCell ref="H245:I245"/>
    <mergeCell ref="J245:K245"/>
    <mergeCell ref="L245:M245"/>
    <mergeCell ref="H246:I246"/>
    <mergeCell ref="J246:K246"/>
    <mergeCell ref="L246:M246"/>
    <mergeCell ref="F246:G246"/>
    <mergeCell ref="F247:G247"/>
    <mergeCell ref="H247:I247"/>
    <mergeCell ref="J247:K247"/>
    <mergeCell ref="L247:M247"/>
    <mergeCell ref="F248:G248"/>
    <mergeCell ref="H248:I248"/>
    <mergeCell ref="F310:G310"/>
    <mergeCell ref="H310:I310"/>
    <mergeCell ref="J310:K310"/>
    <mergeCell ref="L310:M310"/>
    <mergeCell ref="F311:G311"/>
    <mergeCell ref="F312:G312"/>
    <mergeCell ref="H312:I312"/>
    <mergeCell ref="I320:J320"/>
    <mergeCell ref="I321:J321"/>
    <mergeCell ref="J312:K312"/>
    <mergeCell ref="L312:M312"/>
    <mergeCell ref="I319:J319"/>
    <mergeCell ref="D320:F320"/>
    <mergeCell ref="G320:H321"/>
    <mergeCell ref="K320:K321"/>
    <mergeCell ref="D321:F321"/>
    <mergeCell ref="L321:M321"/>
    <mergeCell ref="L320:M320"/>
    <mergeCell ref="N320:O320"/>
    <mergeCell ref="P320:Q320"/>
    <mergeCell ref="N321:O321"/>
    <mergeCell ref="P321:Q321"/>
    <mergeCell ref="D323:Q323"/>
    <mergeCell ref="F324:G324"/>
    <mergeCell ref="L324:M324"/>
    <mergeCell ref="H326:I326"/>
    <mergeCell ref="J326:K326"/>
    <mergeCell ref="J328:K328"/>
    <mergeCell ref="L328:M328"/>
    <mergeCell ref="J332:K332"/>
    <mergeCell ref="L332:M332"/>
    <mergeCell ref="F337:G337"/>
    <mergeCell ref="H337:I337"/>
    <mergeCell ref="J337:K337"/>
    <mergeCell ref="L337:M337"/>
    <mergeCell ref="H338:I338"/>
    <mergeCell ref="J338:K338"/>
    <mergeCell ref="L338:M338"/>
    <mergeCell ref="F338:G338"/>
    <mergeCell ref="F339:G339"/>
    <mergeCell ref="H339:I339"/>
    <mergeCell ref="J339:K339"/>
    <mergeCell ref="L339:M339"/>
    <mergeCell ref="F340:G340"/>
    <mergeCell ref="H340:I340"/>
    <mergeCell ref="J343:K343"/>
    <mergeCell ref="L343:M343"/>
    <mergeCell ref="Y347:Z347"/>
    <mergeCell ref="F341:G341"/>
    <mergeCell ref="H341:I341"/>
    <mergeCell ref="J341:K341"/>
    <mergeCell ref="L341:M341"/>
    <mergeCell ref="F342:G342"/>
    <mergeCell ref="F343:G343"/>
    <mergeCell ref="H343:I343"/>
    <mergeCell ref="F329:G329"/>
    <mergeCell ref="H329:I329"/>
    <mergeCell ref="J329:K329"/>
    <mergeCell ref="L329:M329"/>
    <mergeCell ref="H330:I330"/>
    <mergeCell ref="J330:K330"/>
    <mergeCell ref="L330:M330"/>
    <mergeCell ref="F330:G330"/>
    <mergeCell ref="F331:G331"/>
    <mergeCell ref="H331:I331"/>
    <mergeCell ref="J331:K331"/>
    <mergeCell ref="L331:M331"/>
    <mergeCell ref="F332:G332"/>
    <mergeCell ref="H332:I332"/>
    <mergeCell ref="F333:G333"/>
    <mergeCell ref="H333:I333"/>
    <mergeCell ref="J333:K333"/>
    <mergeCell ref="L333:M333"/>
    <mergeCell ref="H334:I334"/>
    <mergeCell ref="J334:K334"/>
    <mergeCell ref="L334:M334"/>
    <mergeCell ref="J336:K336"/>
    <mergeCell ref="L336:M336"/>
    <mergeCell ref="F334:G334"/>
    <mergeCell ref="F335:G335"/>
    <mergeCell ref="H335:I335"/>
    <mergeCell ref="J335:K335"/>
    <mergeCell ref="L335:M335"/>
    <mergeCell ref="F336:G336"/>
    <mergeCell ref="H336:I336"/>
    <mergeCell ref="J340:K340"/>
    <mergeCell ref="L340:M340"/>
    <mergeCell ref="F344:G344"/>
    <mergeCell ref="H344:I344"/>
    <mergeCell ref="J344:K344"/>
    <mergeCell ref="L344:M344"/>
    <mergeCell ref="F237:G237"/>
    <mergeCell ref="H237:I237"/>
    <mergeCell ref="J237:K237"/>
    <mergeCell ref="L237:M237"/>
    <mergeCell ref="H238:I238"/>
    <mergeCell ref="J238:K238"/>
    <mergeCell ref="L238:M238"/>
    <mergeCell ref="F238:G238"/>
    <mergeCell ref="F239:G239"/>
    <mergeCell ref="H239:I239"/>
    <mergeCell ref="J239:K239"/>
    <mergeCell ref="L239:M239"/>
    <mergeCell ref="F240:G240"/>
    <mergeCell ref="H240:I240"/>
    <mergeCell ref="F241:G241"/>
    <mergeCell ref="H241:I241"/>
    <mergeCell ref="J241:K241"/>
    <mergeCell ref="L241:M241"/>
    <mergeCell ref="H242:I242"/>
    <mergeCell ref="J242:K242"/>
    <mergeCell ref="L242:M242"/>
    <mergeCell ref="J244:K244"/>
    <mergeCell ref="L244:M244"/>
    <mergeCell ref="F242:G242"/>
    <mergeCell ref="F243:G243"/>
    <mergeCell ref="H243:I243"/>
    <mergeCell ref="J243:K243"/>
    <mergeCell ref="L243:M243"/>
    <mergeCell ref="F244:G244"/>
    <mergeCell ref="H244:I244"/>
    <mergeCell ref="J248:K248"/>
    <mergeCell ref="L248:M248"/>
    <mergeCell ref="L258:M258"/>
    <mergeCell ref="N258:O258"/>
    <mergeCell ref="P258:Q258"/>
    <mergeCell ref="N259:O259"/>
    <mergeCell ref="P259:Q259"/>
    <mergeCell ref="F249:G249"/>
    <mergeCell ref="F250:G250"/>
    <mergeCell ref="H250:I250"/>
    <mergeCell ref="J250:K250"/>
    <mergeCell ref="L250:M250"/>
    <mergeCell ref="F251:G251"/>
    <mergeCell ref="H251:I251"/>
    <mergeCell ref="J251:K251"/>
    <mergeCell ref="L251:M251"/>
    <mergeCell ref="I257:J257"/>
    <mergeCell ref="D258:F258"/>
    <mergeCell ref="G258:H259"/>
    <mergeCell ref="K258:K259"/>
    <mergeCell ref="D259:F259"/>
    <mergeCell ref="L259:M259"/>
    <mergeCell ref="I258:J258"/>
    <mergeCell ref="I259:J259"/>
    <mergeCell ref="D261:Q261"/>
    <mergeCell ref="F262:G262"/>
    <mergeCell ref="H262:I262"/>
    <mergeCell ref="J262:K262"/>
    <mergeCell ref="L262:M262"/>
    <mergeCell ref="F263:G263"/>
    <mergeCell ref="H263:I263"/>
    <mergeCell ref="J263:K263"/>
    <mergeCell ref="L263:M263"/>
    <mergeCell ref="H264:I264"/>
    <mergeCell ref="J264:K264"/>
    <mergeCell ref="L264:M264"/>
    <mergeCell ref="J266:K266"/>
    <mergeCell ref="L266:M266"/>
    <mergeCell ref="F264:G264"/>
    <mergeCell ref="F265:G265"/>
    <mergeCell ref="H265:I265"/>
    <mergeCell ref="J265:K265"/>
    <mergeCell ref="L265:M265"/>
    <mergeCell ref="F266:G266"/>
    <mergeCell ref="H266:I266"/>
    <mergeCell ref="J270:K270"/>
    <mergeCell ref="L270:M270"/>
    <mergeCell ref="F275:G275"/>
    <mergeCell ref="H275:I275"/>
    <mergeCell ref="J275:K275"/>
    <mergeCell ref="L275:M275"/>
    <mergeCell ref="H276:I276"/>
    <mergeCell ref="J276:K276"/>
    <mergeCell ref="L276:M276"/>
    <mergeCell ref="F276:G276"/>
    <mergeCell ref="F277:G277"/>
    <mergeCell ref="H277:I277"/>
    <mergeCell ref="J277:K277"/>
    <mergeCell ref="L277:M277"/>
    <mergeCell ref="F278:G278"/>
    <mergeCell ref="H278:I278"/>
    <mergeCell ref="J281:K281"/>
    <mergeCell ref="L281:M281"/>
    <mergeCell ref="F279:G279"/>
    <mergeCell ref="H279:I279"/>
    <mergeCell ref="J279:K279"/>
    <mergeCell ref="L279:M279"/>
    <mergeCell ref="F280:G280"/>
    <mergeCell ref="F281:G281"/>
    <mergeCell ref="H281:I281"/>
    <mergeCell ref="F267:G267"/>
    <mergeCell ref="H267:I267"/>
    <mergeCell ref="J267:K267"/>
    <mergeCell ref="L267:M267"/>
    <mergeCell ref="H268:I268"/>
    <mergeCell ref="J268:K268"/>
    <mergeCell ref="L268:M268"/>
    <mergeCell ref="F268:G268"/>
    <mergeCell ref="F269:G269"/>
    <mergeCell ref="H269:I269"/>
    <mergeCell ref="J269:K269"/>
    <mergeCell ref="L269:M269"/>
    <mergeCell ref="F270:G270"/>
    <mergeCell ref="H270:I270"/>
    <mergeCell ref="F271:G271"/>
    <mergeCell ref="H271:I271"/>
    <mergeCell ref="J271:K271"/>
    <mergeCell ref="L271:M271"/>
    <mergeCell ref="H272:I272"/>
    <mergeCell ref="J272:K272"/>
    <mergeCell ref="L272:M272"/>
    <mergeCell ref="J274:K274"/>
    <mergeCell ref="L274:M274"/>
    <mergeCell ref="F272:G272"/>
    <mergeCell ref="F273:G273"/>
    <mergeCell ref="H273:I273"/>
    <mergeCell ref="J273:K273"/>
    <mergeCell ref="L273:M273"/>
    <mergeCell ref="F274:G274"/>
    <mergeCell ref="H274:I274"/>
    <mergeCell ref="J278:K278"/>
    <mergeCell ref="L278:M278"/>
    <mergeCell ref="I289:J289"/>
    <mergeCell ref="K289:K290"/>
    <mergeCell ref="N289:O289"/>
    <mergeCell ref="P289:Q289"/>
    <mergeCell ref="N290:O290"/>
    <mergeCell ref="P290:Q290"/>
    <mergeCell ref="L289:M289"/>
    <mergeCell ref="L290:M290"/>
    <mergeCell ref="F282:G282"/>
    <mergeCell ref="H282:I282"/>
    <mergeCell ref="J282:K282"/>
    <mergeCell ref="L282:M282"/>
    <mergeCell ref="I288:J288"/>
    <mergeCell ref="G289:H290"/>
    <mergeCell ref="I290:J290"/>
    <mergeCell ref="D289:F289"/>
    <mergeCell ref="D290:F290"/>
    <mergeCell ref="D292:Q292"/>
    <mergeCell ref="F293:G293"/>
    <mergeCell ref="H293:I293"/>
    <mergeCell ref="J293:K293"/>
    <mergeCell ref="L293:M293"/>
    <mergeCell ref="F294:G294"/>
    <mergeCell ref="H294:I294"/>
    <mergeCell ref="J294:K294"/>
    <mergeCell ref="L294:M294"/>
    <mergeCell ref="H295:I295"/>
    <mergeCell ref="J295:K295"/>
    <mergeCell ref="L295:M295"/>
    <mergeCell ref="J297:K297"/>
    <mergeCell ref="L297:M297"/>
    <mergeCell ref="F295:G295"/>
    <mergeCell ref="F296:G296"/>
    <mergeCell ref="H296:I296"/>
    <mergeCell ref="J296:K296"/>
    <mergeCell ref="L296:M296"/>
    <mergeCell ref="F297:G297"/>
    <mergeCell ref="H297:I297"/>
    <mergeCell ref="J301:K301"/>
    <mergeCell ref="L301:M301"/>
    <mergeCell ref="H324:I324"/>
    <mergeCell ref="J324:K324"/>
    <mergeCell ref="F325:G325"/>
    <mergeCell ref="H325:I325"/>
    <mergeCell ref="J325:K325"/>
    <mergeCell ref="L325:M325"/>
    <mergeCell ref="L326:M326"/>
    <mergeCell ref="F326:G326"/>
    <mergeCell ref="F327:G327"/>
    <mergeCell ref="H327:I327"/>
    <mergeCell ref="J327:K327"/>
    <mergeCell ref="L327:M327"/>
    <mergeCell ref="F328:G328"/>
    <mergeCell ref="H328:I328"/>
    <mergeCell ref="T330:AI330"/>
    <mergeCell ref="F48:G48"/>
    <mergeCell ref="H48:I48"/>
    <mergeCell ref="J48:K48"/>
    <mergeCell ref="L48:M48"/>
    <mergeCell ref="H49:I49"/>
    <mergeCell ref="J49:K49"/>
    <mergeCell ref="L49:M49"/>
    <mergeCell ref="F49:G49"/>
    <mergeCell ref="F50:G50"/>
    <mergeCell ref="H50:I50"/>
    <mergeCell ref="J50:K50"/>
    <mergeCell ref="L50:M50"/>
    <mergeCell ref="F51:G51"/>
    <mergeCell ref="H51:I51"/>
    <mergeCell ref="F40:G40"/>
    <mergeCell ref="H40:I40"/>
    <mergeCell ref="J40:K40"/>
    <mergeCell ref="L40:M40"/>
    <mergeCell ref="H41:I41"/>
    <mergeCell ref="J41:K41"/>
    <mergeCell ref="L41:M41"/>
    <mergeCell ref="F41:G41"/>
    <mergeCell ref="F42:G42"/>
    <mergeCell ref="H42:I42"/>
    <mergeCell ref="J42:K42"/>
    <mergeCell ref="L42:M42"/>
    <mergeCell ref="F43:G43"/>
    <mergeCell ref="H43:I43"/>
    <mergeCell ref="F44:G44"/>
    <mergeCell ref="H44:I44"/>
    <mergeCell ref="J44:K44"/>
    <mergeCell ref="L44:M44"/>
    <mergeCell ref="H45:I45"/>
    <mergeCell ref="J45:K45"/>
    <mergeCell ref="L45:M45"/>
    <mergeCell ref="J47:K47"/>
    <mergeCell ref="L47:M47"/>
    <mergeCell ref="F45:G45"/>
    <mergeCell ref="F46:G46"/>
    <mergeCell ref="H46:I46"/>
    <mergeCell ref="J46:K46"/>
    <mergeCell ref="L46:M46"/>
    <mergeCell ref="F47:G47"/>
    <mergeCell ref="H47:I47"/>
    <mergeCell ref="J51:K51"/>
    <mergeCell ref="L51:M51"/>
    <mergeCell ref="D56:F56"/>
    <mergeCell ref="G56:H57"/>
    <mergeCell ref="I56:J56"/>
    <mergeCell ref="K56:K57"/>
    <mergeCell ref="L56:M56"/>
    <mergeCell ref="D57:F57"/>
    <mergeCell ref="I57:J57"/>
    <mergeCell ref="L57:M57"/>
    <mergeCell ref="P2:P3"/>
    <mergeCell ref="Q2:Q3"/>
    <mergeCell ref="R2:R3"/>
    <mergeCell ref="A3:C3"/>
    <mergeCell ref="D3:F3"/>
    <mergeCell ref="A4:C4"/>
    <mergeCell ref="L2:M2"/>
    <mergeCell ref="L3:M3"/>
    <mergeCell ref="A2:C2"/>
    <mergeCell ref="D2:F2"/>
    <mergeCell ref="G2:H3"/>
    <mergeCell ref="I2:J2"/>
    <mergeCell ref="K2:K3"/>
    <mergeCell ref="N2:O2"/>
    <mergeCell ref="I3:J3"/>
    <mergeCell ref="N3:O3"/>
    <mergeCell ref="D5:Q5"/>
    <mergeCell ref="F6:G6"/>
    <mergeCell ref="H6:I6"/>
    <mergeCell ref="J6:K6"/>
    <mergeCell ref="L6:M6"/>
    <mergeCell ref="F7:G7"/>
    <mergeCell ref="L7:M7"/>
    <mergeCell ref="H9:I9"/>
    <mergeCell ref="J9:K9"/>
    <mergeCell ref="J11:K11"/>
    <mergeCell ref="L11:M11"/>
    <mergeCell ref="F16:G16"/>
    <mergeCell ref="H16:I16"/>
    <mergeCell ref="J16:K16"/>
    <mergeCell ref="L16:M16"/>
    <mergeCell ref="H17:I17"/>
    <mergeCell ref="J17:K17"/>
    <mergeCell ref="L17:M17"/>
    <mergeCell ref="F17:G17"/>
    <mergeCell ref="F18:G18"/>
    <mergeCell ref="H18:I18"/>
    <mergeCell ref="J18:K18"/>
    <mergeCell ref="L18:M18"/>
    <mergeCell ref="F19:G19"/>
    <mergeCell ref="H19:I19"/>
    <mergeCell ref="H7:I7"/>
    <mergeCell ref="J7:K7"/>
    <mergeCell ref="F8:G8"/>
    <mergeCell ref="H8:I8"/>
    <mergeCell ref="J8:K8"/>
    <mergeCell ref="L8:M8"/>
    <mergeCell ref="L9:M9"/>
    <mergeCell ref="F9:G9"/>
    <mergeCell ref="F10:G10"/>
    <mergeCell ref="H10:I10"/>
    <mergeCell ref="J10:K10"/>
    <mergeCell ref="L10:M10"/>
    <mergeCell ref="F11:G11"/>
    <mergeCell ref="H11:I11"/>
    <mergeCell ref="F12:G12"/>
    <mergeCell ref="H12:I12"/>
    <mergeCell ref="J12:K12"/>
    <mergeCell ref="L12:M12"/>
    <mergeCell ref="H13:I13"/>
    <mergeCell ref="J13:K13"/>
    <mergeCell ref="L13:M13"/>
    <mergeCell ref="J15:K15"/>
    <mergeCell ref="L15:M15"/>
    <mergeCell ref="F13:G13"/>
    <mergeCell ref="F14:G14"/>
    <mergeCell ref="H14:I14"/>
    <mergeCell ref="J14:K14"/>
    <mergeCell ref="L14:M14"/>
    <mergeCell ref="F15:G15"/>
    <mergeCell ref="H15:I15"/>
    <mergeCell ref="J19:K19"/>
    <mergeCell ref="L19:M19"/>
    <mergeCell ref="F26:G26"/>
    <mergeCell ref="H26:I26"/>
    <mergeCell ref="J26:K26"/>
    <mergeCell ref="L26:M26"/>
    <mergeCell ref="J23:K23"/>
    <mergeCell ref="L23:M23"/>
    <mergeCell ref="F24:G24"/>
    <mergeCell ref="F25:G25"/>
    <mergeCell ref="H25:I25"/>
    <mergeCell ref="J25:K25"/>
    <mergeCell ref="L25:M25"/>
    <mergeCell ref="H37:I37"/>
    <mergeCell ref="J37:K37"/>
    <mergeCell ref="H35:I35"/>
    <mergeCell ref="J35:K35"/>
    <mergeCell ref="F36:G36"/>
    <mergeCell ref="H36:I36"/>
    <mergeCell ref="J36:K36"/>
    <mergeCell ref="L36:M36"/>
    <mergeCell ref="L37:M37"/>
    <mergeCell ref="J39:K39"/>
    <mergeCell ref="L39:M39"/>
    <mergeCell ref="F37:G37"/>
    <mergeCell ref="F38:G38"/>
    <mergeCell ref="H38:I38"/>
    <mergeCell ref="J38:K38"/>
    <mergeCell ref="L38:M38"/>
    <mergeCell ref="F39:G39"/>
    <mergeCell ref="H39:I39"/>
    <mergeCell ref="F20:G20"/>
    <mergeCell ref="H20:I20"/>
    <mergeCell ref="J20:K20"/>
    <mergeCell ref="L20:M20"/>
    <mergeCell ref="H21:I21"/>
    <mergeCell ref="J21:K21"/>
    <mergeCell ref="L21:M21"/>
    <mergeCell ref="F21:G21"/>
    <mergeCell ref="F22:G22"/>
    <mergeCell ref="H22:I22"/>
    <mergeCell ref="J22:K22"/>
    <mergeCell ref="L22:M22"/>
    <mergeCell ref="F23:G23"/>
    <mergeCell ref="H23:I23"/>
    <mergeCell ref="D30:F30"/>
    <mergeCell ref="D31:F31"/>
    <mergeCell ref="L30:M30"/>
    <mergeCell ref="L31:M31"/>
    <mergeCell ref="G30:H31"/>
    <mergeCell ref="I30:J30"/>
    <mergeCell ref="K30:K31"/>
    <mergeCell ref="N30:O30"/>
    <mergeCell ref="P30:P31"/>
    <mergeCell ref="Q30:Q31"/>
    <mergeCell ref="I31:J31"/>
    <mergeCell ref="N31:O31"/>
    <mergeCell ref="D33:Q33"/>
    <mergeCell ref="F34:G34"/>
    <mergeCell ref="H34:I34"/>
    <mergeCell ref="J34:K34"/>
    <mergeCell ref="L34:M34"/>
    <mergeCell ref="F35:G35"/>
    <mergeCell ref="L35:M35"/>
    <mergeCell ref="J43:K43"/>
    <mergeCell ref="L43:M43"/>
    <mergeCell ref="F64:G64"/>
    <mergeCell ref="H64:I64"/>
    <mergeCell ref="J64:K64"/>
    <mergeCell ref="L64:M64"/>
    <mergeCell ref="H65:I65"/>
    <mergeCell ref="J65:K65"/>
    <mergeCell ref="L65:M65"/>
    <mergeCell ref="F65:G65"/>
    <mergeCell ref="F66:G66"/>
    <mergeCell ref="H66:I66"/>
    <mergeCell ref="J66:K66"/>
    <mergeCell ref="L66:M66"/>
    <mergeCell ref="F67:G67"/>
    <mergeCell ref="H67:I67"/>
    <mergeCell ref="F52:G52"/>
    <mergeCell ref="F53:G53"/>
    <mergeCell ref="H53:I53"/>
    <mergeCell ref="J53:K53"/>
    <mergeCell ref="L53:M53"/>
    <mergeCell ref="F54:G54"/>
    <mergeCell ref="H54:I54"/>
    <mergeCell ref="J54:K54"/>
    <mergeCell ref="L54:M54"/>
    <mergeCell ref="N56:O56"/>
    <mergeCell ref="P56:P57"/>
    <mergeCell ref="Q56:Q57"/>
    <mergeCell ref="N57:O57"/>
    <mergeCell ref="D59:Q59"/>
    <mergeCell ref="F60:G60"/>
    <mergeCell ref="H60:I60"/>
    <mergeCell ref="J60:K60"/>
    <mergeCell ref="L60:M60"/>
    <mergeCell ref="H61:I61"/>
    <mergeCell ref="J61:K61"/>
    <mergeCell ref="L61:M61"/>
    <mergeCell ref="J63:K63"/>
    <mergeCell ref="L63:M63"/>
    <mergeCell ref="F61:G61"/>
    <mergeCell ref="F62:G62"/>
    <mergeCell ref="H62:I62"/>
    <mergeCell ref="J62:K62"/>
    <mergeCell ref="L62:M62"/>
    <mergeCell ref="F63:G63"/>
    <mergeCell ref="H63:I63"/>
    <mergeCell ref="J67:K67"/>
    <mergeCell ref="L67:M67"/>
    <mergeCell ref="J71:K71"/>
    <mergeCell ref="L71:M71"/>
    <mergeCell ref="F68:G68"/>
    <mergeCell ref="H68:I68"/>
    <mergeCell ref="J68:K68"/>
    <mergeCell ref="L68:M68"/>
    <mergeCell ref="H69:I69"/>
    <mergeCell ref="J69:K69"/>
    <mergeCell ref="L69:M69"/>
    <mergeCell ref="F69:G69"/>
    <mergeCell ref="F70:G70"/>
    <mergeCell ref="H70:I70"/>
    <mergeCell ref="J70:K70"/>
    <mergeCell ref="L70:M70"/>
    <mergeCell ref="F71:G71"/>
    <mergeCell ref="H71:I71"/>
    <mergeCell ref="F72:G72"/>
    <mergeCell ref="H72:I72"/>
    <mergeCell ref="J72:K72"/>
    <mergeCell ref="L72:M72"/>
    <mergeCell ref="H73:I73"/>
    <mergeCell ref="J73:K73"/>
    <mergeCell ref="L73:M73"/>
    <mergeCell ref="J75:K75"/>
    <mergeCell ref="L75:M75"/>
    <mergeCell ref="F73:G73"/>
    <mergeCell ref="F74:G74"/>
    <mergeCell ref="H74:I74"/>
    <mergeCell ref="J74:K74"/>
    <mergeCell ref="L74:M74"/>
    <mergeCell ref="F75:G75"/>
    <mergeCell ref="H75:I75"/>
    <mergeCell ref="F76:G76"/>
    <mergeCell ref="H76:I76"/>
    <mergeCell ref="J76:K76"/>
    <mergeCell ref="L76:M76"/>
    <mergeCell ref="H77:I77"/>
    <mergeCell ref="J77:K77"/>
    <mergeCell ref="L77:M77"/>
    <mergeCell ref="L82:M82"/>
    <mergeCell ref="N82:O82"/>
    <mergeCell ref="J86:K86"/>
    <mergeCell ref="L86:M86"/>
    <mergeCell ref="F87:G87"/>
    <mergeCell ref="H87:I87"/>
    <mergeCell ref="J87:K87"/>
    <mergeCell ref="L87:M87"/>
    <mergeCell ref="L88:M88"/>
    <mergeCell ref="F88:G88"/>
    <mergeCell ref="F89:G89"/>
    <mergeCell ref="H89:I89"/>
    <mergeCell ref="J89:K89"/>
    <mergeCell ref="L89:M89"/>
    <mergeCell ref="F90:G90"/>
    <mergeCell ref="H90:I90"/>
    <mergeCell ref="F77:G77"/>
    <mergeCell ref="F78:G78"/>
    <mergeCell ref="F79:G79"/>
    <mergeCell ref="H79:I79"/>
    <mergeCell ref="J79:K79"/>
    <mergeCell ref="L79:M79"/>
    <mergeCell ref="F80:G80"/>
    <mergeCell ref="L80:M80"/>
    <mergeCell ref="P82:P83"/>
    <mergeCell ref="Q82:Q83"/>
    <mergeCell ref="H80:I80"/>
    <mergeCell ref="J80:K80"/>
    <mergeCell ref="I81:J81"/>
    <mergeCell ref="D82:F82"/>
    <mergeCell ref="G82:H83"/>
    <mergeCell ref="K82:K83"/>
    <mergeCell ref="D83:F83"/>
    <mergeCell ref="I82:J82"/>
    <mergeCell ref="I83:J83"/>
    <mergeCell ref="L83:M83"/>
    <mergeCell ref="N83:O83"/>
    <mergeCell ref="D85:Q85"/>
    <mergeCell ref="F86:G86"/>
    <mergeCell ref="H86:I86"/>
    <mergeCell ref="H88:I88"/>
    <mergeCell ref="J88:K88"/>
    <mergeCell ref="J90:K90"/>
    <mergeCell ref="L90:M90"/>
    <mergeCell ref="J94:K94"/>
    <mergeCell ref="L94:M94"/>
    <mergeCell ref="F99:G99"/>
    <mergeCell ref="H99:I99"/>
    <mergeCell ref="J99:K99"/>
    <mergeCell ref="L99:M99"/>
    <mergeCell ref="H100:I100"/>
    <mergeCell ref="J100:K100"/>
    <mergeCell ref="L100:M100"/>
    <mergeCell ref="F100:G100"/>
    <mergeCell ref="F101:G101"/>
    <mergeCell ref="H101:I101"/>
    <mergeCell ref="J101:K101"/>
    <mergeCell ref="L101:M101"/>
    <mergeCell ref="F102:G102"/>
    <mergeCell ref="H102:I102"/>
    <mergeCell ref="J105:K105"/>
    <mergeCell ref="L105:M105"/>
    <mergeCell ref="F103:G103"/>
    <mergeCell ref="H103:I103"/>
    <mergeCell ref="J103:K103"/>
    <mergeCell ref="L103:M103"/>
    <mergeCell ref="F104:G104"/>
    <mergeCell ref="F105:G105"/>
    <mergeCell ref="H105:I105"/>
    <mergeCell ref="F91:G91"/>
    <mergeCell ref="H91:I91"/>
    <mergeCell ref="J91:K91"/>
    <mergeCell ref="L91:M91"/>
    <mergeCell ref="H92:I92"/>
    <mergeCell ref="J92:K92"/>
    <mergeCell ref="L92:M92"/>
    <mergeCell ref="F92:G92"/>
    <mergeCell ref="F93:G93"/>
    <mergeCell ref="H93:I93"/>
    <mergeCell ref="J93:K93"/>
    <mergeCell ref="L93:M93"/>
    <mergeCell ref="F94:G94"/>
    <mergeCell ref="H94:I94"/>
    <mergeCell ref="F95:G95"/>
    <mergeCell ref="H95:I95"/>
    <mergeCell ref="J95:K95"/>
    <mergeCell ref="L95:M95"/>
    <mergeCell ref="H96:I96"/>
    <mergeCell ref="J96:K96"/>
    <mergeCell ref="L96:M96"/>
    <mergeCell ref="J98:K98"/>
    <mergeCell ref="L98:M98"/>
    <mergeCell ref="F96:G96"/>
    <mergeCell ref="F97:G97"/>
    <mergeCell ref="H97:I97"/>
    <mergeCell ref="J97:K97"/>
    <mergeCell ref="L97:M97"/>
    <mergeCell ref="F98:G98"/>
    <mergeCell ref="H98:I98"/>
    <mergeCell ref="J102:K102"/>
    <mergeCell ref="L102:M102"/>
    <mergeCell ref="D109:F109"/>
    <mergeCell ref="D110:F110"/>
    <mergeCell ref="F116:G116"/>
    <mergeCell ref="F117:G117"/>
    <mergeCell ref="H117:I117"/>
    <mergeCell ref="J117:K117"/>
    <mergeCell ref="L117:M117"/>
    <mergeCell ref="F118:G118"/>
    <mergeCell ref="H118:I118"/>
    <mergeCell ref="F119:G119"/>
    <mergeCell ref="H119:I119"/>
    <mergeCell ref="J119:K119"/>
    <mergeCell ref="L119:M119"/>
    <mergeCell ref="H120:I120"/>
    <mergeCell ref="J120:K120"/>
    <mergeCell ref="L120:M120"/>
    <mergeCell ref="J122:K122"/>
    <mergeCell ref="L122:M122"/>
    <mergeCell ref="F120:G120"/>
    <mergeCell ref="F121:G121"/>
    <mergeCell ref="H121:I121"/>
    <mergeCell ref="J121:K121"/>
    <mergeCell ref="L121:M121"/>
    <mergeCell ref="F122:G122"/>
    <mergeCell ref="H122:I122"/>
    <mergeCell ref="F106:G106"/>
    <mergeCell ref="H106:I106"/>
    <mergeCell ref="J106:K106"/>
    <mergeCell ref="L106:M106"/>
    <mergeCell ref="I108:J108"/>
    <mergeCell ref="G109:H110"/>
    <mergeCell ref="L109:M109"/>
    <mergeCell ref="I109:J109"/>
    <mergeCell ref="K109:K110"/>
    <mergeCell ref="N109:O109"/>
    <mergeCell ref="P109:P110"/>
    <mergeCell ref="Q109:Q110"/>
    <mergeCell ref="I110:J110"/>
    <mergeCell ref="L110:M110"/>
    <mergeCell ref="N110:O110"/>
    <mergeCell ref="D112:Q112"/>
    <mergeCell ref="F113:G113"/>
    <mergeCell ref="H113:I113"/>
    <mergeCell ref="J113:K113"/>
    <mergeCell ref="L113:M113"/>
    <mergeCell ref="F114:G114"/>
    <mergeCell ref="L114:M114"/>
    <mergeCell ref="H116:I116"/>
    <mergeCell ref="J116:K116"/>
    <mergeCell ref="H114:I114"/>
    <mergeCell ref="J114:K114"/>
    <mergeCell ref="F115:G115"/>
    <mergeCell ref="H115:I115"/>
    <mergeCell ref="J115:K115"/>
    <mergeCell ref="L115:M115"/>
    <mergeCell ref="L116:M116"/>
    <mergeCell ref="J118:K118"/>
    <mergeCell ref="L118:M118"/>
    <mergeCell ref="J126:K126"/>
    <mergeCell ref="L126:M126"/>
    <mergeCell ref="F123:G123"/>
    <mergeCell ref="H123:I123"/>
    <mergeCell ref="J123:K123"/>
    <mergeCell ref="L123:M123"/>
    <mergeCell ref="H124:I124"/>
    <mergeCell ref="J124:K124"/>
    <mergeCell ref="L124:M124"/>
    <mergeCell ref="F124:G124"/>
    <mergeCell ref="F125:G125"/>
    <mergeCell ref="H125:I125"/>
    <mergeCell ref="J125:K125"/>
    <mergeCell ref="L125:M125"/>
    <mergeCell ref="F126:G126"/>
    <mergeCell ref="H126:I126"/>
    <mergeCell ref="F127:G127"/>
    <mergeCell ref="H127:I127"/>
    <mergeCell ref="J127:K127"/>
    <mergeCell ref="L127:M127"/>
    <mergeCell ref="H128:I128"/>
    <mergeCell ref="J128:K128"/>
    <mergeCell ref="L128:M128"/>
    <mergeCell ref="J130:K130"/>
    <mergeCell ref="L130:M130"/>
    <mergeCell ref="F128:G128"/>
    <mergeCell ref="F129:G129"/>
    <mergeCell ref="H129:I129"/>
    <mergeCell ref="J129:K129"/>
    <mergeCell ref="L129:M129"/>
    <mergeCell ref="F130:G130"/>
    <mergeCell ref="H130:I130"/>
    <mergeCell ref="F131:G131"/>
    <mergeCell ref="F132:G132"/>
    <mergeCell ref="H132:I132"/>
    <mergeCell ref="J132:K132"/>
    <mergeCell ref="L132:M132"/>
    <mergeCell ref="F133:G133"/>
    <mergeCell ref="H133:I133"/>
    <mergeCell ref="L137:M137"/>
    <mergeCell ref="N137:O137"/>
    <mergeCell ref="P137:P138"/>
    <mergeCell ref="Q137:Q138"/>
    <mergeCell ref="N138:O138"/>
    <mergeCell ref="F144:G144"/>
    <mergeCell ref="F145:G145"/>
    <mergeCell ref="H145:I145"/>
    <mergeCell ref="J145:K145"/>
    <mergeCell ref="L145:M145"/>
    <mergeCell ref="F146:G146"/>
    <mergeCell ref="H146:I146"/>
    <mergeCell ref="F147:G147"/>
    <mergeCell ref="H147:I147"/>
    <mergeCell ref="J147:K147"/>
    <mergeCell ref="L147:M147"/>
    <mergeCell ref="H148:I148"/>
    <mergeCell ref="J148:K148"/>
    <mergeCell ref="L148:M148"/>
    <mergeCell ref="J150:K150"/>
    <mergeCell ref="L150:M150"/>
    <mergeCell ref="F148:G148"/>
    <mergeCell ref="F149:G149"/>
    <mergeCell ref="H149:I149"/>
    <mergeCell ref="J149:K149"/>
    <mergeCell ref="L149:M149"/>
    <mergeCell ref="F150:G150"/>
    <mergeCell ref="H150:I150"/>
    <mergeCell ref="I137:J137"/>
    <mergeCell ref="I138:J138"/>
    <mergeCell ref="J133:K133"/>
    <mergeCell ref="L133:M133"/>
    <mergeCell ref="I136:J136"/>
    <mergeCell ref="D137:F137"/>
    <mergeCell ref="G137:H138"/>
    <mergeCell ref="K137:K138"/>
    <mergeCell ref="L138:M138"/>
    <mergeCell ref="D138:F138"/>
    <mergeCell ref="D140:Q140"/>
    <mergeCell ref="F141:G141"/>
    <mergeCell ref="H141:I141"/>
    <mergeCell ref="J141:K141"/>
    <mergeCell ref="L141:M141"/>
    <mergeCell ref="F142:G142"/>
    <mergeCell ref="L142:M142"/>
    <mergeCell ref="H144:I144"/>
    <mergeCell ref="J144:K144"/>
    <mergeCell ref="H142:I142"/>
    <mergeCell ref="J142:K142"/>
    <mergeCell ref="F143:G143"/>
    <mergeCell ref="H143:I143"/>
    <mergeCell ref="J143:K143"/>
    <mergeCell ref="L143:M143"/>
    <mergeCell ref="L144:M144"/>
    <mergeCell ref="J146:K146"/>
    <mergeCell ref="L146:M146"/>
    <mergeCell ref="J154:K154"/>
    <mergeCell ref="L154:M154"/>
    <mergeCell ref="F215:G215"/>
    <mergeCell ref="H215:I215"/>
    <mergeCell ref="J215:K215"/>
    <mergeCell ref="L215:M215"/>
    <mergeCell ref="H216:I216"/>
    <mergeCell ref="J216:K216"/>
    <mergeCell ref="L216:M216"/>
    <mergeCell ref="F216:G216"/>
    <mergeCell ref="F217:G217"/>
    <mergeCell ref="H217:I217"/>
    <mergeCell ref="J217:K217"/>
    <mergeCell ref="L217:M217"/>
    <mergeCell ref="F218:G218"/>
    <mergeCell ref="F219:G219"/>
    <mergeCell ref="L219:M219"/>
    <mergeCell ref="F203:G203"/>
    <mergeCell ref="H203:I203"/>
    <mergeCell ref="J203:K203"/>
    <mergeCell ref="L203:M203"/>
    <mergeCell ref="H204:I204"/>
    <mergeCell ref="J204:K204"/>
    <mergeCell ref="L204:M204"/>
    <mergeCell ref="F204:G204"/>
    <mergeCell ref="F205:G205"/>
    <mergeCell ref="H205:I205"/>
    <mergeCell ref="J205:K205"/>
    <mergeCell ref="L205:M205"/>
    <mergeCell ref="F206:G206"/>
    <mergeCell ref="H206:I206"/>
    <mergeCell ref="F207:G207"/>
    <mergeCell ref="H207:I207"/>
    <mergeCell ref="J207:K207"/>
    <mergeCell ref="L207:M207"/>
    <mergeCell ref="H208:I208"/>
    <mergeCell ref="J208:K208"/>
    <mergeCell ref="L208:M208"/>
    <mergeCell ref="J210:K210"/>
    <mergeCell ref="L210:M210"/>
    <mergeCell ref="F208:G208"/>
    <mergeCell ref="F209:G209"/>
    <mergeCell ref="H209:I209"/>
    <mergeCell ref="J209:K209"/>
    <mergeCell ref="L209:M209"/>
    <mergeCell ref="F210:G210"/>
    <mergeCell ref="H210:I210"/>
    <mergeCell ref="J214:K214"/>
    <mergeCell ref="L214:M214"/>
    <mergeCell ref="H219:I219"/>
    <mergeCell ref="J219:K219"/>
    <mergeCell ref="F220:G220"/>
    <mergeCell ref="H220:I220"/>
    <mergeCell ref="J220:K220"/>
    <mergeCell ref="L220:M220"/>
    <mergeCell ref="I226:J226"/>
    <mergeCell ref="H232:I232"/>
    <mergeCell ref="J232:K232"/>
    <mergeCell ref="F233:G233"/>
    <mergeCell ref="H233:I233"/>
    <mergeCell ref="J233:K233"/>
    <mergeCell ref="L233:M233"/>
    <mergeCell ref="L234:M234"/>
    <mergeCell ref="F234:G234"/>
    <mergeCell ref="F235:G235"/>
    <mergeCell ref="H235:I235"/>
    <mergeCell ref="J235:K235"/>
    <mergeCell ref="L235:M235"/>
    <mergeCell ref="F236:G236"/>
    <mergeCell ref="H236:I236"/>
    <mergeCell ref="D227:F227"/>
    <mergeCell ref="D228:F228"/>
    <mergeCell ref="L227:M227"/>
    <mergeCell ref="L228:M228"/>
    <mergeCell ref="G227:H228"/>
    <mergeCell ref="I227:J227"/>
    <mergeCell ref="K227:K228"/>
    <mergeCell ref="N227:O227"/>
    <mergeCell ref="P227:P228"/>
    <mergeCell ref="Q227:Q228"/>
    <mergeCell ref="I228:J228"/>
    <mergeCell ref="N228:O228"/>
    <mergeCell ref="D230:Q230"/>
    <mergeCell ref="F231:G231"/>
    <mergeCell ref="H231:I231"/>
    <mergeCell ref="J231:K231"/>
    <mergeCell ref="L231:M231"/>
    <mergeCell ref="F232:G232"/>
    <mergeCell ref="L232:M232"/>
    <mergeCell ref="H234:I234"/>
    <mergeCell ref="J234:K234"/>
    <mergeCell ref="J236:K236"/>
    <mergeCell ref="L236:M236"/>
    <mergeCell ref="J240:K240"/>
    <mergeCell ref="L240:M240"/>
    <mergeCell ref="F306:G306"/>
    <mergeCell ref="H306:I306"/>
    <mergeCell ref="J306:K306"/>
    <mergeCell ref="L306:M306"/>
    <mergeCell ref="H307:I307"/>
    <mergeCell ref="J307:K307"/>
    <mergeCell ref="L307:M307"/>
    <mergeCell ref="F307:G307"/>
    <mergeCell ref="F308:G308"/>
    <mergeCell ref="H308:I308"/>
    <mergeCell ref="J308:K308"/>
    <mergeCell ref="L308:M308"/>
    <mergeCell ref="F309:G309"/>
    <mergeCell ref="H309:I309"/>
    <mergeCell ref="F298:G298"/>
    <mergeCell ref="H298:I298"/>
    <mergeCell ref="J298:K298"/>
    <mergeCell ref="L298:M298"/>
    <mergeCell ref="H299:I299"/>
    <mergeCell ref="J299:K299"/>
    <mergeCell ref="L299:M299"/>
    <mergeCell ref="F299:G299"/>
    <mergeCell ref="F300:G300"/>
    <mergeCell ref="H300:I300"/>
    <mergeCell ref="J300:K300"/>
    <mergeCell ref="L300:M300"/>
    <mergeCell ref="F301:G301"/>
    <mergeCell ref="H301:I301"/>
    <mergeCell ref="F302:G302"/>
    <mergeCell ref="H302:I302"/>
    <mergeCell ref="J302:K302"/>
    <mergeCell ref="L302:M302"/>
    <mergeCell ref="H303:I303"/>
    <mergeCell ref="J303:K303"/>
    <mergeCell ref="L303:M303"/>
    <mergeCell ref="J305:K305"/>
    <mergeCell ref="L305:M305"/>
    <mergeCell ref="F303:G303"/>
    <mergeCell ref="F304:G304"/>
    <mergeCell ref="H304:I304"/>
    <mergeCell ref="J304:K304"/>
    <mergeCell ref="L304:M304"/>
    <mergeCell ref="F305:G305"/>
    <mergeCell ref="H305:I305"/>
    <mergeCell ref="J309:K309"/>
    <mergeCell ref="L309:M309"/>
    <mergeCell ref="F313:G313"/>
    <mergeCell ref="H313:I313"/>
    <mergeCell ref="J313:K313"/>
    <mergeCell ref="L313:M313"/>
  </mergeCells>
  <conditionalFormatting sqref="F8:N21 F36:N49 F62:N75 O62 F88:N101 F115:N128 F143:N156 O145 O150 F172:N185 F202:N215 F233:N246 F264:N277 F295:N308 F326:N339">
    <cfRule type="cellIs" dxfId="0" priority="1" operator="greaterThan">
      <formula>10000</formula>
    </cfRule>
  </conditionalFormatting>
  <conditionalFormatting sqref="F23:N26 F51:N54 F77:N80 F103:N106 F130:N133 F158:N161 F187:N190 F217:N220 F248:N251 F279:N282 F310:N313 F341:N344">
    <cfRule type="cellIs" dxfId="4" priority="2" operator="greaterThan">
      <formula>10000</formula>
    </cfRule>
  </conditionalFormatting>
  <conditionalFormatting sqref="P62:P75">
    <cfRule type="cellIs" dxfId="5" priority="3" operator="greaterThanOrEqual">
      <formula>20000</formula>
    </cfRule>
  </conditionalFormatting>
  <conditionalFormatting sqref="P88:P101 P115:P128 P143:P156 P172:P185 P202:P215 P233:P246 P264:P277 P295:P308 P326:P339">
    <cfRule type="cellIs" dxfId="5" priority="4" operator="greaterThanOrEqual">
      <formula>20000</formula>
    </cfRule>
  </conditionalFormatting>
  <conditionalFormatting sqref="W349:W361">
    <cfRule type="cellIs" dxfId="6" priority="5" operator="lessThan">
      <formula>0.25</formula>
    </cfRule>
  </conditionalFormatting>
  <conditionalFormatting sqref="W349:W361">
    <cfRule type="cellIs" dxfId="7" priority="6" operator="greaterThan">
      <formula>0.39</formula>
    </cfRule>
  </conditionalFormatting>
  <conditionalFormatting sqref="W349:W361">
    <cfRule type="cellIs" dxfId="8" priority="7" operator="greaterThan">
      <formula>0</formula>
    </cfRule>
  </conditionalFormatting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3.43"/>
    <col customWidth="1" min="3" max="3" width="12.43"/>
    <col customWidth="1" min="4" max="4" width="13.29"/>
    <col customWidth="1" min="5" max="7" width="8.71"/>
    <col customWidth="1" min="8" max="8" width="46.29"/>
    <col customWidth="1" min="9" max="9" width="10.86"/>
    <col customWidth="1" min="10" max="10" width="13.29"/>
    <col customWidth="1" min="11" max="11" width="18.57"/>
    <col customWidth="1" min="12" max="12" width="13.43"/>
    <col customWidth="1" min="13" max="13" width="13.86"/>
    <col customWidth="1" min="14" max="14" width="9.57"/>
    <col customWidth="1" min="15" max="27" width="8.71"/>
    <col customWidth="1" min="28" max="28" width="15.14"/>
    <col customWidth="1" min="29" max="31" width="8.71"/>
  </cols>
  <sheetData>
    <row r="1">
      <c r="A1" s="238" t="s">
        <v>74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40"/>
    </row>
    <row r="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3"/>
    </row>
    <row r="3">
      <c r="H3" s="244" t="s">
        <v>75</v>
      </c>
      <c r="I3" s="245" t="s">
        <v>76</v>
      </c>
      <c r="J3" s="246"/>
      <c r="K3" s="246"/>
      <c r="L3" s="246"/>
      <c r="M3" s="247"/>
      <c r="N3" s="248" t="s">
        <v>77</v>
      </c>
      <c r="O3" s="249"/>
      <c r="P3" s="249"/>
      <c r="Q3" s="249"/>
      <c r="R3" s="250"/>
      <c r="S3" s="251" t="s">
        <v>78</v>
      </c>
      <c r="T3" s="223"/>
      <c r="U3" s="223"/>
      <c r="V3" s="223"/>
      <c r="W3" s="252"/>
      <c r="X3" s="253" t="s">
        <v>79</v>
      </c>
      <c r="Y3" s="254"/>
      <c r="Z3" s="254"/>
      <c r="AA3" s="254"/>
      <c r="AB3" s="255"/>
      <c r="AD3" s="256"/>
      <c r="AE3" s="256"/>
    </row>
    <row r="4">
      <c r="B4" s="257" t="s">
        <v>80</v>
      </c>
      <c r="C4" s="258" t="s">
        <v>81</v>
      </c>
      <c r="D4" s="139"/>
      <c r="E4" s="139"/>
      <c r="F4" s="139"/>
      <c r="G4" s="259"/>
      <c r="H4" s="258" t="s">
        <v>82</v>
      </c>
      <c r="I4" s="260">
        <v>1.0</v>
      </c>
      <c r="J4" s="261">
        <v>2.0</v>
      </c>
      <c r="K4" s="261">
        <v>3.0</v>
      </c>
      <c r="L4" s="261">
        <v>4.0</v>
      </c>
      <c r="M4" s="262">
        <v>5.0</v>
      </c>
      <c r="N4" s="263">
        <v>1.0</v>
      </c>
      <c r="O4" s="257">
        <v>2.0</v>
      </c>
      <c r="P4" s="257">
        <v>3.0</v>
      </c>
      <c r="Q4" s="257">
        <v>4.0</v>
      </c>
      <c r="R4" s="264">
        <v>5.0</v>
      </c>
      <c r="S4" s="263">
        <v>1.0</v>
      </c>
      <c r="T4" s="257">
        <v>2.0</v>
      </c>
      <c r="U4" s="257">
        <v>3.0</v>
      </c>
      <c r="V4" s="257">
        <v>4.0</v>
      </c>
      <c r="W4" s="258">
        <v>5.0</v>
      </c>
      <c r="X4" s="265">
        <v>1.0</v>
      </c>
      <c r="Y4" s="266">
        <v>2.0</v>
      </c>
      <c r="Z4" s="266">
        <v>3.0</v>
      </c>
      <c r="AA4" s="266">
        <v>4.0</v>
      </c>
      <c r="AB4" s="267">
        <v>5.0</v>
      </c>
      <c r="AD4" s="268"/>
      <c r="AE4" s="268"/>
    </row>
    <row r="5">
      <c r="B5" s="269" t="s">
        <v>83</v>
      </c>
      <c r="C5" s="270" t="s">
        <v>84</v>
      </c>
      <c r="D5" s="254"/>
      <c r="E5" s="254"/>
      <c r="F5" s="254"/>
      <c r="G5" s="254"/>
      <c r="H5" s="255"/>
      <c r="I5" s="271">
        <v>55000.0</v>
      </c>
      <c r="J5" s="272"/>
      <c r="K5" s="272"/>
      <c r="L5" s="272"/>
      <c r="M5" s="273"/>
      <c r="N5" s="271">
        <v>110000.0</v>
      </c>
      <c r="O5" s="274"/>
      <c r="P5" s="274"/>
      <c r="Q5" s="274"/>
      <c r="R5" s="273"/>
      <c r="S5" s="271">
        <f>600+600</f>
        <v>1200</v>
      </c>
      <c r="T5" s="274"/>
      <c r="U5" s="274"/>
      <c r="V5" s="274"/>
      <c r="W5" s="275"/>
      <c r="X5" s="276">
        <v>600.0</v>
      </c>
      <c r="Y5" s="277"/>
      <c r="Z5" s="277"/>
      <c r="AA5" s="278"/>
      <c r="AB5" s="279">
        <v>86.0</v>
      </c>
      <c r="AD5" s="6"/>
      <c r="AE5" s="6"/>
    </row>
    <row r="6">
      <c r="B6" s="280" t="s">
        <v>85</v>
      </c>
      <c r="C6" s="281" t="s">
        <v>86</v>
      </c>
      <c r="D6" s="282"/>
      <c r="E6" s="282"/>
      <c r="F6" s="282"/>
      <c r="G6" s="282"/>
      <c r="H6" s="283"/>
      <c r="I6" s="284">
        <f>4474+8449</f>
        <v>12923</v>
      </c>
      <c r="J6" s="285">
        <f>1939+280</f>
        <v>2219</v>
      </c>
      <c r="K6" s="285">
        <f>3970+280+1807</f>
        <v>6057</v>
      </c>
      <c r="L6" s="286">
        <f>712+1279+774+2330</f>
        <v>5095</v>
      </c>
      <c r="M6" s="287">
        <f>5488</f>
        <v>5488</v>
      </c>
      <c r="N6" s="284">
        <f>500+1600+778</f>
        <v>2878</v>
      </c>
      <c r="O6" s="286">
        <f>3895+1368+636+547</f>
        <v>6446</v>
      </c>
      <c r="P6" s="286">
        <f>2030+780+1685+1292+399+280</f>
        <v>6466</v>
      </c>
      <c r="Q6" s="286">
        <f>866</f>
        <v>866</v>
      </c>
      <c r="R6" s="287">
        <f>(31+14.38+47.14+8.07+134.16 - 50)*73</f>
        <v>13486.75</v>
      </c>
      <c r="S6" s="284">
        <f>23+10+3.99+2.89+6.2+(120-26+9.88)</f>
        <v>149.96</v>
      </c>
      <c r="T6" s="286">
        <f>57+6.5+5+9.5+9.65+6.5</f>
        <v>94.15</v>
      </c>
      <c r="U6" s="286">
        <f>5.35+(112.5-35.57-10)+(2.9+8.93)+(28.77+18.42)</f>
        <v>131.3</v>
      </c>
      <c r="V6" s="286">
        <f>3.89+(55.21+38.4-26)+(6.25+51.37)</f>
        <v>129.12</v>
      </c>
      <c r="W6" s="288">
        <f>30.54+1+6.99+6.42+10.28+7.7+7.5</f>
        <v>70.43</v>
      </c>
      <c r="X6" s="289">
        <f>16.97+16+31.86+4.99+6+16+11.86+94.74</f>
        <v>198.42</v>
      </c>
      <c r="Y6" s="291">
        <f>4.3+18.16</f>
        <v>22.46</v>
      </c>
      <c r="Z6" s="291">
        <f>3.4+9.38+46.22+32.25</f>
        <v>91.25</v>
      </c>
      <c r="AA6" s="291">
        <f>10.28+3.4</f>
        <v>13.68</v>
      </c>
      <c r="AB6" s="292">
        <f>1+4+26.3</f>
        <v>31.3</v>
      </c>
      <c r="AD6" s="6"/>
      <c r="AE6" s="6"/>
    </row>
    <row r="7">
      <c r="B7" s="293" t="s">
        <v>87</v>
      </c>
      <c r="C7" s="294" t="s">
        <v>88</v>
      </c>
      <c r="D7" s="282"/>
      <c r="E7" s="282"/>
      <c r="F7" s="282"/>
      <c r="G7" s="282"/>
      <c r="H7" s="283"/>
      <c r="I7" s="295"/>
      <c r="J7" s="296"/>
      <c r="K7" s="297"/>
      <c r="L7" s="297"/>
      <c r="M7" s="298">
        <f>789+159+539+359</f>
        <v>1846</v>
      </c>
      <c r="N7" s="295"/>
      <c r="O7" s="297">
        <v>2500.0</v>
      </c>
      <c r="P7" s="297">
        <v>1442.0</v>
      </c>
      <c r="Q7" s="296"/>
      <c r="R7" s="299">
        <f>5*73</f>
        <v>365</v>
      </c>
      <c r="S7" s="300">
        <v>30.0</v>
      </c>
      <c r="T7" s="296"/>
      <c r="U7" s="297">
        <f>6.15+(8+2)+2</f>
        <v>18.15</v>
      </c>
      <c r="V7" s="297">
        <v>24.9</v>
      </c>
      <c r="W7" s="301"/>
      <c r="X7" s="302"/>
      <c r="Y7" s="303"/>
      <c r="Z7" s="304"/>
      <c r="AA7" s="304">
        <v>3.0</v>
      </c>
      <c r="AB7" s="305"/>
      <c r="AD7" s="6"/>
      <c r="AE7" s="6"/>
    </row>
    <row r="8">
      <c r="B8" s="306" t="s">
        <v>89</v>
      </c>
      <c r="C8" s="307" t="s">
        <v>90</v>
      </c>
      <c r="D8" s="282"/>
      <c r="E8" s="282"/>
      <c r="F8" s="282"/>
      <c r="G8" s="282"/>
      <c r="H8" s="283"/>
      <c r="I8" s="295"/>
      <c r="J8" s="297">
        <v>1700.0</v>
      </c>
      <c r="K8" s="296">
        <f>890+890</f>
        <v>1780</v>
      </c>
      <c r="L8" s="297">
        <v>2000.0</v>
      </c>
      <c r="M8" s="298">
        <f>530+1975</f>
        <v>2505</v>
      </c>
      <c r="N8" s="300">
        <f>1800+430+460</f>
        <v>2690</v>
      </c>
      <c r="O8" s="297">
        <f>550+1600+590+1800</f>
        <v>4540</v>
      </c>
      <c r="P8" s="297">
        <f>1190+800</f>
        <v>1990</v>
      </c>
      <c r="Q8" s="296"/>
      <c r="R8" s="299">
        <f>27*73</f>
        <v>1971</v>
      </c>
      <c r="S8" s="300">
        <f>16.95</f>
        <v>16.95</v>
      </c>
      <c r="T8" s="297"/>
      <c r="U8" s="297"/>
      <c r="V8" s="297">
        <v>10.0</v>
      </c>
      <c r="W8" s="310"/>
      <c r="X8" s="302"/>
      <c r="Y8" s="303"/>
      <c r="Z8" s="303"/>
      <c r="AA8" s="303">
        <f>22</f>
        <v>22</v>
      </c>
      <c r="AB8" s="311"/>
      <c r="AD8" s="6"/>
      <c r="AE8" s="6"/>
    </row>
    <row r="9">
      <c r="B9" s="312" t="s">
        <v>91</v>
      </c>
      <c r="C9" s="307" t="s">
        <v>92</v>
      </c>
      <c r="D9" s="282"/>
      <c r="E9" s="282"/>
      <c r="F9" s="282"/>
      <c r="G9" s="282"/>
      <c r="H9" s="283"/>
      <c r="I9" s="295"/>
      <c r="J9" s="296"/>
      <c r="K9" s="296"/>
      <c r="L9" s="296"/>
      <c r="M9" s="298"/>
      <c r="N9" s="300"/>
      <c r="O9" s="297"/>
      <c r="P9" s="296"/>
      <c r="Q9" s="296"/>
      <c r="R9" s="299">
        <f>50*73</f>
        <v>3650</v>
      </c>
      <c r="S9" s="300"/>
      <c r="T9" s="297"/>
      <c r="U9" s="297">
        <f>(600+300+20)</f>
        <v>920</v>
      </c>
      <c r="V9" s="297">
        <f>1331+1024</f>
        <v>2355</v>
      </c>
      <c r="W9" s="301">
        <f>1770+15+25+12</f>
        <v>1822</v>
      </c>
      <c r="X9" s="302"/>
      <c r="Y9" s="304">
        <v>300.0</v>
      </c>
      <c r="Z9" s="304"/>
      <c r="AA9" s="303"/>
      <c r="AB9" s="311"/>
      <c r="AD9" s="6"/>
      <c r="AE9" s="6"/>
    </row>
    <row r="10">
      <c r="B10" s="315" t="s">
        <v>94</v>
      </c>
      <c r="C10" s="294" t="s">
        <v>95</v>
      </c>
      <c r="D10" s="282"/>
      <c r="E10" s="282"/>
      <c r="F10" s="282"/>
      <c r="G10" s="282"/>
      <c r="H10" s="283"/>
      <c r="I10" s="295"/>
      <c r="J10" s="296"/>
      <c r="K10" s="296"/>
      <c r="L10" s="296"/>
      <c r="M10" s="298"/>
      <c r="N10" s="300"/>
      <c r="O10" s="296"/>
      <c r="P10" s="296"/>
      <c r="Q10" s="296"/>
      <c r="R10" s="296"/>
      <c r="S10" s="300"/>
      <c r="T10" s="296">
        <f>54.99+34.99</f>
        <v>89.98</v>
      </c>
      <c r="U10" s="297"/>
      <c r="V10" s="296"/>
      <c r="W10" s="301"/>
      <c r="X10" s="302"/>
      <c r="Y10" s="303"/>
      <c r="Z10" s="303"/>
      <c r="AA10" s="303"/>
      <c r="AB10" s="311"/>
      <c r="AD10" s="6"/>
      <c r="AE10" s="6"/>
    </row>
    <row r="11">
      <c r="B11" s="316" t="s">
        <v>96</v>
      </c>
      <c r="C11" s="317" t="s">
        <v>97</v>
      </c>
      <c r="D11" s="282"/>
      <c r="E11" s="282"/>
      <c r="F11" s="282"/>
      <c r="G11" s="282"/>
      <c r="H11" s="283"/>
      <c r="I11" s="300"/>
      <c r="J11" s="296"/>
      <c r="K11" s="297"/>
      <c r="L11" s="297"/>
      <c r="M11" s="298"/>
      <c r="N11" s="302"/>
      <c r="O11" s="304">
        <v>20749.0</v>
      </c>
      <c r="P11" s="303"/>
      <c r="Q11" s="303"/>
      <c r="R11" s="305"/>
      <c r="S11" s="300">
        <v>77.0</v>
      </c>
      <c r="T11" s="296"/>
      <c r="U11" s="297"/>
      <c r="V11" s="297"/>
      <c r="W11" s="310">
        <v>40.0</v>
      </c>
      <c r="X11" s="318">
        <f>17+23</f>
        <v>40</v>
      </c>
      <c r="Y11" s="303"/>
      <c r="Z11" s="304">
        <v>55.0</v>
      </c>
      <c r="AA11" s="304"/>
      <c r="AB11" s="311"/>
      <c r="AD11" s="6"/>
      <c r="AE11" s="6"/>
    </row>
    <row r="12">
      <c r="B12" s="319" t="s">
        <v>98</v>
      </c>
      <c r="C12" s="320" t="s">
        <v>99</v>
      </c>
      <c r="D12" s="282"/>
      <c r="E12" s="282"/>
      <c r="F12" s="282"/>
      <c r="G12" s="282"/>
      <c r="H12" s="283"/>
      <c r="I12" s="321">
        <v>3450.0</v>
      </c>
      <c r="J12" s="322"/>
      <c r="K12" s="322"/>
      <c r="L12" s="322"/>
      <c r="M12" s="323"/>
      <c r="N12" s="321">
        <v>3450.0</v>
      </c>
      <c r="O12" s="322"/>
      <c r="P12" s="322"/>
      <c r="Q12" s="322"/>
      <c r="R12" s="325">
        <f>8000+((2+2+2)*73)</f>
        <v>8438</v>
      </c>
      <c r="S12" s="326">
        <f>4+2</f>
        <v>6</v>
      </c>
      <c r="T12" s="322">
        <f>2+2+2</f>
        <v>6</v>
      </c>
      <c r="U12" s="322">
        <f>2+2</f>
        <v>4</v>
      </c>
      <c r="V12" s="322">
        <f>2+2+(2+2)</f>
        <v>8</v>
      </c>
      <c r="W12" s="328">
        <f>2</f>
        <v>2</v>
      </c>
      <c r="X12" s="321"/>
      <c r="Y12" s="322">
        <f>11+25+(5+5)+25+(2+2)</f>
        <v>75</v>
      </c>
      <c r="Z12" s="322">
        <f>12+3+4</f>
        <v>19</v>
      </c>
      <c r="AA12" s="330"/>
      <c r="AB12" s="325">
        <v>50.0</v>
      </c>
      <c r="AD12" s="6"/>
      <c r="AE12" s="6"/>
    </row>
    <row r="13">
      <c r="B13" s="331" t="s">
        <v>100</v>
      </c>
      <c r="C13" s="332" t="s">
        <v>101</v>
      </c>
      <c r="D13" s="139"/>
      <c r="E13" s="139"/>
      <c r="F13" s="139"/>
      <c r="G13" s="139"/>
      <c r="H13" s="333"/>
      <c r="I13" s="334"/>
      <c r="J13" s="335"/>
      <c r="K13" s="335">
        <f>(300.35+259.81+5+29.45+108.86+47.01+9.9+39.59+64)*73</f>
        <v>63069.81</v>
      </c>
      <c r="L13" s="335"/>
      <c r="M13" s="336"/>
      <c r="N13" s="337"/>
      <c r="O13" s="335"/>
      <c r="P13" s="338">
        <v>495.0</v>
      </c>
      <c r="Q13" s="338">
        <v>450.0</v>
      </c>
      <c r="R13" s="339"/>
      <c r="S13" s="337">
        <f>55+(32+32+32-32)</f>
        <v>119</v>
      </c>
      <c r="T13" s="338"/>
      <c r="U13" s="338"/>
      <c r="V13" s="338">
        <v>81.0</v>
      </c>
      <c r="W13" s="340"/>
      <c r="X13" s="341"/>
      <c r="Y13" s="342"/>
      <c r="Z13" s="342"/>
      <c r="AA13" s="343"/>
      <c r="AB13" s="344">
        <f>10+10</f>
        <v>20</v>
      </c>
    </row>
    <row r="14">
      <c r="B14" s="345" t="s">
        <v>102</v>
      </c>
      <c r="C14" s="346" t="s">
        <v>103</v>
      </c>
      <c r="D14" s="139"/>
      <c r="E14" s="139"/>
      <c r="F14" s="139"/>
      <c r="G14" s="139"/>
      <c r="H14" s="333"/>
      <c r="I14" s="263">
        <v>1000.0</v>
      </c>
      <c r="J14" s="347">
        <f>1000+3000</f>
        <v>4000</v>
      </c>
      <c r="K14" s="347"/>
      <c r="L14" s="347"/>
      <c r="M14" s="348"/>
      <c r="N14" s="263">
        <v>1000.0</v>
      </c>
      <c r="O14" s="257">
        <v>1000.0</v>
      </c>
      <c r="P14" s="257">
        <v>1000.0</v>
      </c>
      <c r="Q14" s="257">
        <f>3000+1000</f>
        <v>4000</v>
      </c>
      <c r="R14" s="349">
        <f>(320*73)</f>
        <v>23360</v>
      </c>
      <c r="S14" s="263"/>
      <c r="T14" s="257"/>
      <c r="U14" s="257"/>
      <c r="V14" s="257"/>
      <c r="W14" s="350"/>
      <c r="X14" s="351"/>
      <c r="Y14" s="352"/>
      <c r="Z14" s="352"/>
      <c r="AA14" s="352">
        <v>45.0</v>
      </c>
      <c r="AB14" s="353"/>
    </row>
    <row r="15">
      <c r="B15" s="354" t="s">
        <v>106</v>
      </c>
      <c r="C15" s="355" t="s">
        <v>107</v>
      </c>
      <c r="D15" s="356"/>
      <c r="E15" s="356"/>
      <c r="F15" s="356"/>
      <c r="G15" s="356"/>
      <c r="H15" s="357"/>
      <c r="I15" s="358">
        <v>222000.0</v>
      </c>
      <c r="J15" s="360"/>
      <c r="K15" s="360"/>
      <c r="L15" s="360"/>
      <c r="M15" s="361"/>
      <c r="N15" s="358">
        <v>252101.0</v>
      </c>
      <c r="O15" s="360"/>
      <c r="P15" s="362"/>
      <c r="Q15" s="362"/>
      <c r="R15" s="363">
        <v>90000.0</v>
      </c>
      <c r="S15" s="358"/>
      <c r="T15" s="362">
        <v>3510.0</v>
      </c>
      <c r="U15" s="362"/>
      <c r="V15" s="362"/>
      <c r="W15" s="364"/>
      <c r="X15" s="365">
        <v>3510.0</v>
      </c>
      <c r="Y15" s="366"/>
      <c r="Z15" s="366"/>
      <c r="AA15" s="367"/>
      <c r="AB15" s="368">
        <v>400.0</v>
      </c>
    </row>
    <row r="16">
      <c r="B16" s="370" t="s">
        <v>108</v>
      </c>
      <c r="C16" s="371" t="s">
        <v>109</v>
      </c>
      <c r="D16" s="223"/>
      <c r="E16" s="223"/>
      <c r="F16" s="223"/>
      <c r="G16" s="223"/>
      <c r="H16" s="372"/>
      <c r="I16" s="373"/>
      <c r="J16" s="373"/>
      <c r="K16" s="373"/>
      <c r="L16" s="373"/>
      <c r="M16" s="373"/>
      <c r="N16" s="373"/>
      <c r="O16" s="373"/>
      <c r="P16" s="373"/>
      <c r="Q16" s="373"/>
      <c r="R16" s="375" t="s">
        <v>110</v>
      </c>
      <c r="S16" s="373"/>
      <c r="T16" s="373"/>
      <c r="U16" s="373"/>
      <c r="V16" s="373"/>
      <c r="W16" s="373"/>
      <c r="X16" s="373"/>
      <c r="Y16" s="373"/>
      <c r="Z16" s="373"/>
      <c r="AA16" s="373"/>
      <c r="AB16" s="373"/>
    </row>
    <row r="17">
      <c r="B17" s="376" t="s">
        <v>111</v>
      </c>
      <c r="C17" s="317" t="s">
        <v>112</v>
      </c>
      <c r="D17" s="282"/>
      <c r="E17" s="282"/>
      <c r="F17" s="282"/>
      <c r="G17" s="282"/>
      <c r="H17" s="377"/>
      <c r="I17" s="378"/>
      <c r="J17" s="296"/>
      <c r="K17" s="296"/>
      <c r="L17" s="296"/>
      <c r="M17" s="296"/>
      <c r="N17" s="296"/>
      <c r="O17" s="296"/>
      <c r="P17" s="296"/>
      <c r="Q17" s="296"/>
      <c r="R17" s="373"/>
      <c r="S17" s="296"/>
      <c r="T17" s="296"/>
      <c r="U17" s="296"/>
      <c r="V17" s="296"/>
      <c r="W17" s="296"/>
      <c r="X17" s="296"/>
      <c r="Y17" s="296"/>
      <c r="Z17" s="296"/>
      <c r="AA17" s="296"/>
      <c r="AB17" s="373"/>
    </row>
    <row r="18">
      <c r="B18" s="379" t="s">
        <v>114</v>
      </c>
      <c r="C18" s="380" t="s">
        <v>115</v>
      </c>
      <c r="D18" s="139"/>
      <c r="E18" s="139"/>
      <c r="F18" s="139"/>
      <c r="G18" s="139"/>
      <c r="H18" s="381"/>
      <c r="I18" s="378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</row>
    <row r="19">
      <c r="B19" s="382" t="s">
        <v>117</v>
      </c>
      <c r="C19" s="384"/>
      <c r="D19" s="384"/>
      <c r="E19" s="384"/>
      <c r="F19" s="384"/>
      <c r="G19" s="384"/>
      <c r="H19" s="386"/>
    </row>
    <row r="20">
      <c r="B20" s="388" t="s">
        <v>118</v>
      </c>
      <c r="C20" s="317">
        <v>10.0</v>
      </c>
      <c r="D20" s="282"/>
      <c r="E20" s="282"/>
      <c r="F20" s="282"/>
      <c r="G20" s="282"/>
      <c r="H20" s="283"/>
    </row>
    <row r="21">
      <c r="B21" s="391" t="s">
        <v>120</v>
      </c>
      <c r="C21" s="392">
        <v>16.0</v>
      </c>
      <c r="D21" s="356"/>
      <c r="E21" s="356"/>
      <c r="F21" s="356"/>
      <c r="G21" s="356"/>
      <c r="H21" s="357"/>
    </row>
    <row r="23">
      <c r="I23" s="393" t="s">
        <v>121</v>
      </c>
      <c r="J23" s="246"/>
      <c r="K23" s="246"/>
      <c r="L23" s="246"/>
      <c r="M23" s="247"/>
      <c r="N23" s="393" t="s">
        <v>122</v>
      </c>
      <c r="O23" s="246"/>
      <c r="P23" s="246"/>
      <c r="Q23" s="246"/>
      <c r="R23" s="247"/>
      <c r="S23" s="393" t="s">
        <v>123</v>
      </c>
      <c r="T23" s="246"/>
      <c r="U23" s="246"/>
      <c r="V23" s="246"/>
      <c r="W23" s="247"/>
      <c r="X23" s="396" t="s">
        <v>124</v>
      </c>
      <c r="Y23" s="246"/>
      <c r="Z23" s="246"/>
      <c r="AA23" s="246"/>
      <c r="AB23" s="247"/>
    </row>
    <row r="24">
      <c r="I24" s="260">
        <v>1.0</v>
      </c>
      <c r="J24" s="261">
        <v>2.0</v>
      </c>
      <c r="K24" s="261">
        <v>3.0</v>
      </c>
      <c r="L24" s="261">
        <v>4.0</v>
      </c>
      <c r="M24" s="262">
        <v>5.0</v>
      </c>
      <c r="N24" s="260">
        <v>1.0</v>
      </c>
      <c r="O24" s="261">
        <v>2.0</v>
      </c>
      <c r="P24" s="261">
        <v>3.0</v>
      </c>
      <c r="Q24" s="261">
        <v>4.0</v>
      </c>
      <c r="R24" s="262">
        <v>5.0</v>
      </c>
      <c r="S24" s="260">
        <v>1.0</v>
      </c>
      <c r="T24" s="261">
        <v>2.0</v>
      </c>
      <c r="U24" s="261">
        <v>3.0</v>
      </c>
      <c r="V24" s="261">
        <v>4.0</v>
      </c>
      <c r="W24" s="262">
        <v>5.0</v>
      </c>
      <c r="X24" s="265">
        <v>1.0</v>
      </c>
      <c r="Y24" s="266">
        <v>2.0</v>
      </c>
      <c r="Z24" s="266">
        <v>3.0</v>
      </c>
      <c r="AA24" s="266">
        <v>4.0</v>
      </c>
      <c r="AB24" s="267">
        <v>5.0</v>
      </c>
    </row>
    <row r="25">
      <c r="H25" s="398" t="s">
        <v>84</v>
      </c>
      <c r="I25" s="399">
        <v>600.0</v>
      </c>
      <c r="J25" s="400">
        <v>200.0</v>
      </c>
      <c r="K25" s="402"/>
      <c r="L25" s="402"/>
      <c r="M25" s="403"/>
      <c r="N25" s="399">
        <f>600+92.2</f>
        <v>692.2</v>
      </c>
      <c r="O25" s="400"/>
      <c r="P25" s="400">
        <v>81.5</v>
      </c>
      <c r="Q25" s="400"/>
      <c r="R25" s="405"/>
      <c r="S25" s="399">
        <f>28+600+63</f>
        <v>691</v>
      </c>
      <c r="T25" s="400">
        <v>124.8</v>
      </c>
      <c r="U25" s="400">
        <f>32</f>
        <v>32</v>
      </c>
      <c r="V25" s="400"/>
      <c r="W25" s="406"/>
      <c r="X25" s="407">
        <v>383.84</v>
      </c>
      <c r="Y25" s="409">
        <v>1200.0</v>
      </c>
      <c r="Z25" s="411"/>
      <c r="AA25" s="412"/>
      <c r="AB25" s="414">
        <f>207250/84 + 260.9 + 485.84</f>
        <v>3214.001905</v>
      </c>
    </row>
    <row r="26">
      <c r="H26" s="415" t="s">
        <v>86</v>
      </c>
      <c r="I26" s="416">
        <f>4.9+8.42+57.55+8.98</f>
        <v>79.85</v>
      </c>
      <c r="J26" s="417">
        <f>8.38+16.02+(60.2+11.79)+2.7</f>
        <v>99.09</v>
      </c>
      <c r="K26" s="417">
        <f>40.74+(7.77+30.59)+3.9</f>
        <v>83</v>
      </c>
      <c r="L26" s="417">
        <f>(10+57+8)</f>
        <v>75</v>
      </c>
      <c r="M26" s="419">
        <f>(3.15+20.5)+(37.5)+(7.58)+80.84</f>
        <v>149.57</v>
      </c>
      <c r="N26" s="416">
        <f>3.15+(77.94+13.55)</f>
        <v>94.64</v>
      </c>
      <c r="O26" s="417">
        <f>17.84+3.15+(2.99+86.52)</f>
        <v>110.5</v>
      </c>
      <c r="P26" s="417">
        <f>(3.15+34.4+6.87+(3.15+48.34+28.91))</f>
        <v>124.82</v>
      </c>
      <c r="Q26" s="417">
        <f>(11)+(3.15+(5.95+7.11))+15.87+105+(7+2)</f>
        <v>157.08</v>
      </c>
      <c r="R26" s="419">
        <f>(26.93+127.28+12.3+3.15-62)</f>
        <v>107.66</v>
      </c>
      <c r="S26" s="416">
        <f>(81.11+10.88-20)+(3.15+16.4)</f>
        <v>91.54</v>
      </c>
      <c r="T26" s="417">
        <f>(79.3+33.17-40.72+11.07)+3.15+((47.59+11.76-7)+1)</f>
        <v>139.32</v>
      </c>
      <c r="U26" s="417">
        <f>(3.15+11.5)+(3.15+7.6)+(93.04-6.49+12.38-23)</f>
        <v>101.33</v>
      </c>
      <c r="V26" s="417">
        <v>40.45</v>
      </c>
      <c r="W26" s="420"/>
      <c r="X26" s="421"/>
      <c r="Y26" s="422"/>
      <c r="Z26" s="422">
        <f>(132.08-50-57)</f>
        <v>25.08</v>
      </c>
      <c r="AA26" s="423"/>
      <c r="AB26" s="424">
        <f>((2168+22459-8392+2440)+(5406-1600)+(5140+2630-3928))/84</f>
        <v>313.3690476</v>
      </c>
    </row>
    <row r="27">
      <c r="H27" s="425" t="s">
        <v>88</v>
      </c>
      <c r="I27" s="426"/>
      <c r="J27" s="427"/>
      <c r="K27" s="428"/>
      <c r="L27" s="428"/>
      <c r="M27" s="429">
        <v>7.0</v>
      </c>
      <c r="N27" s="430"/>
      <c r="O27" s="427"/>
      <c r="P27" s="427">
        <f>4+22</f>
        <v>26</v>
      </c>
      <c r="Q27" s="428">
        <f>4+(5.09+1.09+1.09)</f>
        <v>11.27</v>
      </c>
      <c r="R27" s="431"/>
      <c r="S27" s="430"/>
      <c r="T27" s="428"/>
      <c r="U27" s="428">
        <f>4+6.49</f>
        <v>10.49</v>
      </c>
      <c r="V27" s="428">
        <f>51.39+7.95+27.53+31.34</f>
        <v>118.21</v>
      </c>
      <c r="W27" s="432"/>
      <c r="X27" s="433">
        <v>6.0</v>
      </c>
      <c r="Y27" s="434"/>
      <c r="Z27" s="435"/>
      <c r="AA27" s="436"/>
      <c r="AB27" s="437"/>
    </row>
    <row r="28">
      <c r="H28" s="438" t="s">
        <v>129</v>
      </c>
      <c r="I28" s="430"/>
      <c r="J28" s="427"/>
      <c r="K28" s="427"/>
      <c r="L28" s="427"/>
      <c r="M28" s="431">
        <f>(22+15.5)+23</f>
        <v>60.5</v>
      </c>
      <c r="N28" s="426">
        <f>13+4.4</f>
        <v>17.4</v>
      </c>
      <c r="O28" s="428">
        <v>33.0</v>
      </c>
      <c r="P28" s="439"/>
      <c r="Q28" s="428">
        <v>40.0</v>
      </c>
      <c r="R28" s="429"/>
      <c r="S28" s="426"/>
      <c r="T28" s="428"/>
      <c r="U28" s="428"/>
      <c r="V28" s="428"/>
      <c r="W28" s="440"/>
      <c r="X28" s="441"/>
      <c r="Y28" s="435"/>
      <c r="Z28" s="435">
        <f>47</f>
        <v>47</v>
      </c>
      <c r="AA28" s="436">
        <f>(7+3.5)</f>
        <v>10.5</v>
      </c>
      <c r="AB28" s="442">
        <f>2080/84</f>
        <v>24.76190476</v>
      </c>
    </row>
    <row r="29">
      <c r="H29" s="443" t="s">
        <v>130</v>
      </c>
      <c r="I29" s="430"/>
      <c r="J29" s="427"/>
      <c r="K29" s="427"/>
      <c r="L29" s="428"/>
      <c r="M29" s="429">
        <v>145.0</v>
      </c>
      <c r="N29" s="426"/>
      <c r="O29" s="428">
        <v>83.0</v>
      </c>
      <c r="P29" s="427"/>
      <c r="Q29" s="427"/>
      <c r="R29" s="431"/>
      <c r="S29" s="426"/>
      <c r="T29" s="428"/>
      <c r="U29" s="427"/>
      <c r="V29" s="427"/>
      <c r="W29" s="432"/>
      <c r="X29" s="441"/>
      <c r="Y29" s="434"/>
      <c r="Z29" s="435">
        <v>50.0</v>
      </c>
      <c r="AA29" s="436"/>
      <c r="AB29" s="437">
        <f>(5275+550-2500)/84</f>
        <v>39.58333333</v>
      </c>
    </row>
    <row r="30">
      <c r="H30" s="445" t="s">
        <v>95</v>
      </c>
      <c r="I30" s="430"/>
      <c r="J30" s="427"/>
      <c r="K30" s="427"/>
      <c r="L30" s="427"/>
      <c r="M30" s="429"/>
      <c r="N30" s="426"/>
      <c r="O30" s="428"/>
      <c r="P30" s="427"/>
      <c r="Q30" s="428"/>
      <c r="R30" s="429">
        <v>48.57</v>
      </c>
      <c r="S30" s="426"/>
      <c r="T30" s="427"/>
      <c r="U30" s="428"/>
      <c r="V30" s="427"/>
      <c r="W30" s="432"/>
      <c r="X30" s="433"/>
      <c r="Y30" s="434"/>
      <c r="Z30" s="434"/>
      <c r="AA30" s="436"/>
      <c r="AB30" s="442">
        <f>3495/84</f>
        <v>41.60714286</v>
      </c>
    </row>
    <row r="31">
      <c r="H31" s="446" t="s">
        <v>97</v>
      </c>
      <c r="I31" s="426"/>
      <c r="J31" s="427"/>
      <c r="K31" s="428"/>
      <c r="L31" s="428"/>
      <c r="M31" s="429"/>
      <c r="N31" s="441"/>
      <c r="O31" s="434"/>
      <c r="P31" s="435">
        <v>65.0</v>
      </c>
      <c r="Q31" s="434"/>
      <c r="R31" s="447"/>
      <c r="S31" s="426"/>
      <c r="T31" s="427"/>
      <c r="U31" s="428"/>
      <c r="V31" s="428"/>
      <c r="W31" s="432"/>
      <c r="X31" s="441"/>
      <c r="Y31" s="434"/>
      <c r="Z31" s="435">
        <v>34.0</v>
      </c>
      <c r="AA31" s="436"/>
      <c r="AB31" s="437"/>
    </row>
    <row r="32">
      <c r="H32" s="448" t="s">
        <v>113</v>
      </c>
      <c r="I32" s="326"/>
      <c r="J32" s="330">
        <v>2.0</v>
      </c>
      <c r="K32" s="330">
        <f>2+30</f>
        <v>32</v>
      </c>
      <c r="L32" s="330">
        <f>30+(2+2)</f>
        <v>34</v>
      </c>
      <c r="M32" s="325">
        <v>2.0</v>
      </c>
      <c r="N32" s="321">
        <f>(25+25)+2+2</f>
        <v>54</v>
      </c>
      <c r="O32" s="322">
        <f>2+2</f>
        <v>4</v>
      </c>
      <c r="P32" s="322">
        <f>(2+5)+2</f>
        <v>9</v>
      </c>
      <c r="Q32" s="322"/>
      <c r="R32" s="325">
        <v>21.0</v>
      </c>
      <c r="S32" s="321">
        <v>6.0</v>
      </c>
      <c r="T32" s="322">
        <f>2+(5+2)</f>
        <v>9</v>
      </c>
      <c r="U32" s="322">
        <f>5+2+2</f>
        <v>9</v>
      </c>
      <c r="V32" s="322"/>
      <c r="W32" s="450">
        <v>10.0</v>
      </c>
      <c r="X32" s="451"/>
      <c r="Y32" s="452">
        <f>115+31+10</f>
        <v>156</v>
      </c>
      <c r="Z32" s="453">
        <f>(280+5+5)</f>
        <v>290</v>
      </c>
      <c r="AA32" s="453">
        <f>(5+5)</f>
        <v>10</v>
      </c>
      <c r="AB32" s="455">
        <f>(2530+3000+8800)/84</f>
        <v>170.5952381</v>
      </c>
    </row>
    <row r="33">
      <c r="H33" s="456" t="s">
        <v>131</v>
      </c>
      <c r="I33" s="457">
        <v>17.0</v>
      </c>
      <c r="J33" s="458"/>
      <c r="K33" s="459"/>
      <c r="L33" s="459"/>
      <c r="M33" s="460"/>
      <c r="N33" s="457">
        <v>50.0</v>
      </c>
      <c r="O33" s="458"/>
      <c r="P33" s="458"/>
      <c r="Q33" s="458"/>
      <c r="R33" s="462">
        <v>100.0</v>
      </c>
      <c r="S33" s="457">
        <v>30.0</v>
      </c>
      <c r="T33" s="458"/>
      <c r="U33" s="458"/>
      <c r="V33" s="458"/>
      <c r="W33" s="463"/>
      <c r="X33" s="464"/>
      <c r="Y33" s="465"/>
      <c r="Z33" s="465"/>
      <c r="AA33" s="465"/>
      <c r="AB33" s="465"/>
    </row>
    <row r="34">
      <c r="H34" s="466" t="s">
        <v>132</v>
      </c>
      <c r="I34" s="467"/>
      <c r="J34" s="468">
        <v>20.0</v>
      </c>
      <c r="K34" s="468">
        <v>3.0</v>
      </c>
      <c r="L34" s="468">
        <v>3.0</v>
      </c>
      <c r="M34" s="469"/>
      <c r="N34" s="470"/>
      <c r="O34" s="468">
        <v>40.0</v>
      </c>
      <c r="P34" s="468">
        <v>70.0</v>
      </c>
      <c r="Q34" s="468"/>
      <c r="R34" s="471"/>
      <c r="S34" s="470"/>
      <c r="T34" s="468">
        <f>(3+3)+13</f>
        <v>19</v>
      </c>
      <c r="U34" s="468">
        <v>3.0</v>
      </c>
      <c r="V34" s="468"/>
      <c r="W34" s="472"/>
      <c r="X34" s="473"/>
      <c r="Y34" s="474"/>
      <c r="Z34" s="474">
        <f>(80+40)</f>
        <v>120</v>
      </c>
      <c r="AA34" s="436"/>
      <c r="AB34" s="475">
        <f>(3000+1000)/84</f>
        <v>47.61904762</v>
      </c>
    </row>
    <row r="35">
      <c r="H35" s="476" t="s">
        <v>107</v>
      </c>
      <c r="I35" s="470">
        <v>3510.0</v>
      </c>
      <c r="J35" s="468">
        <v>110.0</v>
      </c>
      <c r="K35" s="468"/>
      <c r="L35" s="468">
        <v>400.0</v>
      </c>
      <c r="M35" s="469"/>
      <c r="N35" s="470"/>
      <c r="O35" s="468">
        <v>3510.0</v>
      </c>
      <c r="P35" s="468"/>
      <c r="Q35" s="468">
        <v>142.0</v>
      </c>
      <c r="R35" s="471"/>
      <c r="S35" s="470"/>
      <c r="T35" s="468">
        <v>3510.0</v>
      </c>
      <c r="U35" s="468"/>
      <c r="V35" s="468"/>
      <c r="W35" s="472"/>
      <c r="X35" s="477">
        <f>(4000+1000)</f>
        <v>5000</v>
      </c>
      <c r="Y35" s="478">
        <f>200</f>
        <v>200</v>
      </c>
      <c r="Z35" s="480">
        <v>3565.0</v>
      </c>
      <c r="AA35" s="482"/>
      <c r="AB35" s="484"/>
    </row>
    <row r="36">
      <c r="H36" s="486" t="s">
        <v>108</v>
      </c>
      <c r="I36" s="488"/>
      <c r="J36" s="427"/>
      <c r="K36" s="489"/>
      <c r="L36" s="489"/>
      <c r="M36" s="489"/>
      <c r="N36" s="489"/>
      <c r="O36" s="489"/>
      <c r="P36" s="489"/>
      <c r="Q36" s="489"/>
      <c r="R36" s="491"/>
      <c r="S36" s="491"/>
      <c r="T36" s="489"/>
      <c r="U36" s="489"/>
      <c r="V36" s="489"/>
      <c r="W36" s="489"/>
      <c r="X36" s="494" t="s">
        <v>134</v>
      </c>
      <c r="Y36" s="496" t="s">
        <v>135</v>
      </c>
      <c r="Z36" s="497"/>
      <c r="AA36" s="497"/>
      <c r="AB36" s="498" t="s">
        <v>136</v>
      </c>
    </row>
    <row r="37">
      <c r="H37" s="499" t="s">
        <v>111</v>
      </c>
      <c r="I37" s="430"/>
      <c r="J37" s="427"/>
      <c r="K37" s="427"/>
      <c r="L37" s="427"/>
      <c r="M37" s="427"/>
      <c r="N37" s="427"/>
      <c r="O37" s="427"/>
      <c r="P37" s="427"/>
      <c r="Q37" s="427"/>
      <c r="R37" s="428"/>
      <c r="S37" s="427"/>
      <c r="T37" s="427"/>
      <c r="U37" s="427"/>
      <c r="V37" s="427"/>
      <c r="W37" s="427"/>
      <c r="X37" s="427"/>
      <c r="Y37" s="418" t="s">
        <v>138</v>
      </c>
      <c r="Z37" s="427"/>
      <c r="AA37" s="427"/>
      <c r="AB37" s="501" t="s">
        <v>139</v>
      </c>
    </row>
    <row r="38">
      <c r="H38" s="502" t="s">
        <v>114</v>
      </c>
      <c r="I38" s="503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04"/>
      <c r="X38" s="504"/>
      <c r="Y38" s="504"/>
      <c r="Z38" s="504"/>
      <c r="AA38" s="504"/>
      <c r="AB38" s="507" t="s">
        <v>141</v>
      </c>
    </row>
    <row r="42">
      <c r="H42" s="508">
        <v>84.07</v>
      </c>
      <c r="I42" s="509" t="s">
        <v>142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</row>
    <row r="43">
      <c r="H43" s="512" t="s">
        <v>145</v>
      </c>
      <c r="I43" s="248" t="s">
        <v>146</v>
      </c>
      <c r="J43" s="249"/>
      <c r="K43" s="249"/>
      <c r="L43" s="249"/>
      <c r="M43" s="250"/>
      <c r="N43" s="248" t="s">
        <v>147</v>
      </c>
      <c r="O43" s="249"/>
      <c r="P43" s="249"/>
      <c r="Q43" s="249"/>
      <c r="R43" s="250"/>
      <c r="S43" s="248" t="s">
        <v>148</v>
      </c>
      <c r="T43" s="249"/>
      <c r="U43" s="249"/>
      <c r="V43" s="249"/>
      <c r="W43" s="250"/>
      <c r="X43" s="513" t="s">
        <v>149</v>
      </c>
      <c r="Y43" s="249"/>
      <c r="Z43" s="249"/>
      <c r="AA43" s="249"/>
      <c r="AB43" s="250"/>
    </row>
    <row r="44">
      <c r="H44" s="514"/>
      <c r="I44" s="515">
        <v>1.0</v>
      </c>
      <c r="J44" s="515">
        <v>2.0</v>
      </c>
      <c r="K44" s="515">
        <v>3.0</v>
      </c>
      <c r="L44" s="515">
        <v>4.0</v>
      </c>
      <c r="M44" s="516">
        <v>5.0</v>
      </c>
      <c r="N44" s="515">
        <v>1.0</v>
      </c>
      <c r="O44" s="515">
        <v>2.0</v>
      </c>
      <c r="P44" s="515">
        <v>3.0</v>
      </c>
      <c r="Q44" s="515">
        <v>4.0</v>
      </c>
      <c r="R44" s="516">
        <v>5.0</v>
      </c>
      <c r="S44" s="515">
        <v>1.0</v>
      </c>
      <c r="T44" s="515">
        <v>2.0</v>
      </c>
      <c r="U44" s="515">
        <v>3.0</v>
      </c>
      <c r="V44" s="515">
        <v>4.0</v>
      </c>
      <c r="W44" s="516">
        <v>5.0</v>
      </c>
      <c r="X44" s="266">
        <v>1.0</v>
      </c>
      <c r="Y44" s="266">
        <v>2.0</v>
      </c>
      <c r="Z44" s="266">
        <v>3.0</v>
      </c>
      <c r="AA44" s="266">
        <v>4.0</v>
      </c>
      <c r="AB44" s="267">
        <v>5.0</v>
      </c>
    </row>
    <row r="45">
      <c r="H45" s="517" t="s">
        <v>151</v>
      </c>
      <c r="I45" s="518">
        <v>84.0</v>
      </c>
      <c r="J45" s="518">
        <v>81.0</v>
      </c>
      <c r="K45" s="519">
        <v>83.0</v>
      </c>
      <c r="L45" s="519">
        <v>82.2</v>
      </c>
      <c r="M45" s="520">
        <v>85.26</v>
      </c>
      <c r="N45" s="518">
        <v>85.0</v>
      </c>
      <c r="O45" s="518">
        <v>85.96</v>
      </c>
      <c r="P45" s="519">
        <v>83.0</v>
      </c>
      <c r="Q45" s="519">
        <v>83.36</v>
      </c>
      <c r="R45" s="522">
        <v>83.75</v>
      </c>
      <c r="S45" s="518">
        <v>82.72</v>
      </c>
      <c r="T45" s="518">
        <v>82.81</v>
      </c>
      <c r="U45" s="519">
        <v>82.27</v>
      </c>
      <c r="V45" s="519">
        <v>83.24</v>
      </c>
      <c r="W45" s="523">
        <v>82.97</v>
      </c>
      <c r="X45" s="518">
        <v>83.15</v>
      </c>
      <c r="Y45" s="518">
        <v>85.03</v>
      </c>
      <c r="Z45" s="519">
        <v>82.61</v>
      </c>
      <c r="AA45" s="519">
        <v>82.2</v>
      </c>
      <c r="AB45" s="520">
        <v>81.33</v>
      </c>
    </row>
    <row r="46">
      <c r="H46" s="524" t="s">
        <v>152</v>
      </c>
      <c r="I46" s="525">
        <f>(0)/H$42</f>
        <v>0</v>
      </c>
      <c r="J46" s="526"/>
      <c r="K46" s="527"/>
      <c r="L46" s="527">
        <f>1600/L45</f>
        <v>19.46472019</v>
      </c>
      <c r="M46" s="528"/>
      <c r="N46" s="525"/>
      <c r="O46" s="529">
        <f>79258/O45</f>
        <v>922.033504</v>
      </c>
      <c r="P46" s="527"/>
      <c r="Q46" s="531">
        <f>3700/Q45</f>
        <v>44.38579655</v>
      </c>
      <c r="R46" s="532"/>
      <c r="S46" s="525">
        <f>(82117)/S45</f>
        <v>992.7103482</v>
      </c>
      <c r="T46" s="526"/>
      <c r="U46" s="527">
        <f>1600/U45</f>
        <v>19.4481585</v>
      </c>
      <c r="V46" s="527"/>
      <c r="W46" s="533">
        <f>(5499)/W45</f>
        <v>66.27696758</v>
      </c>
      <c r="X46" s="534">
        <f>(1150+3080+2970+5470-1980-2460-1990)/X45</f>
        <v>75.04509922</v>
      </c>
      <c r="Y46" s="535">
        <f>(115453)/Y45</f>
        <v>1357.791368</v>
      </c>
      <c r="Z46" s="536">
        <f>(89322/Z45)</f>
        <v>1081.249243</v>
      </c>
      <c r="AA46" s="536">
        <f>(5680/AA45)</f>
        <v>69.09975669</v>
      </c>
      <c r="AB46" s="537"/>
    </row>
    <row r="47" ht="15.75" customHeight="1">
      <c r="H47" s="538" t="s">
        <v>86</v>
      </c>
      <c r="I47" s="540">
        <f>(1106+1157)/H$42</f>
        <v>26.91804449</v>
      </c>
      <c r="J47" s="539">
        <f>(15.63+23.56+23.03+31.29)+((2982+8939+8063-748-2229-3020)/J45)+((540+568)/83)</f>
        <v>279.5384099</v>
      </c>
      <c r="K47" s="539">
        <f>(1136+540-568)/83+(930+800.5+448+623+2558+3864+5289-2075-4015+538)/K45</f>
        <v>121.3072289</v>
      </c>
      <c r="L47" s="539">
        <f>((10596+500-3406)+(2263+500+4027-2914-782)+(3960-600+1050))/L45</f>
        <v>184.8418491</v>
      </c>
      <c r="M47" s="543">
        <f>(2439-509+500+8436-3920)/M45</f>
        <v>81.46844945</v>
      </c>
      <c r="N47" s="540">
        <f>(1756-1076+2781+437+600+1822+650+1220)/N45</f>
        <v>96.35294118</v>
      </c>
      <c r="O47" s="539">
        <f>(3000-455+550+4180+1897-1002+3000)/O45</f>
        <v>129.9441601</v>
      </c>
      <c r="P47" s="539">
        <f>(1355+857+8447+3868-2767-2190)/P45</f>
        <v>115.3012048</v>
      </c>
      <c r="Q47" s="539">
        <f>(1782+550+7900+2949-2003-1200)/Q45</f>
        <v>119.6976967</v>
      </c>
      <c r="R47" s="542">
        <f>(312+330+1844+695-345+529+700+1000)/R45</f>
        <v>60.47761194</v>
      </c>
      <c r="S47" s="539">
        <f>(4775+1150+793-1887+700+(17875-9081)+1247+528)/S45</f>
        <v>194.6324952</v>
      </c>
      <c r="T47" s="539">
        <f>(550+1120+3943+438+700+5445+8875-1958)/T45</f>
        <v>230.8054583</v>
      </c>
      <c r="U47" s="544">
        <f>(1102+5209)/U45</f>
        <v>76.71083019</v>
      </c>
      <c r="V47" s="539">
        <f>(700+1154+5899+3837+600+12140+4333-4509)/V45</f>
        <v>290.1729938</v>
      </c>
      <c r="W47" s="545">
        <f>700/W45</f>
        <v>8.43678438</v>
      </c>
      <c r="X47" s="546">
        <f>(1047+12983-5830)/X45</f>
        <v>98.61695731</v>
      </c>
      <c r="Y47" s="547">
        <f>(5002-3000+1288+379+4142+5857-3240-2206+620)/Y45</f>
        <v>103.9868282</v>
      </c>
      <c r="Z47" s="547">
        <f>(1817+620)/Z45</f>
        <v>29.50006053</v>
      </c>
      <c r="AA47" s="547"/>
      <c r="AB47" s="550"/>
    </row>
    <row r="48" ht="15.75" customHeight="1">
      <c r="H48" s="551" t="s">
        <v>88</v>
      </c>
      <c r="I48" s="576">
        <f>(0)/H$42</f>
        <v>0</v>
      </c>
      <c r="J48" s="553"/>
      <c r="K48" s="554"/>
      <c r="L48" s="554"/>
      <c r="M48" s="555"/>
      <c r="N48" s="552">
        <f>390/N45</f>
        <v>4.588235294</v>
      </c>
      <c r="O48" s="552">
        <f>455/O45</f>
        <v>5.293159609</v>
      </c>
      <c r="P48" s="553"/>
      <c r="Q48" s="553"/>
      <c r="R48" s="584">
        <f>345/R45</f>
        <v>4.119402985</v>
      </c>
      <c r="S48" s="553"/>
      <c r="T48" s="554"/>
      <c r="U48" s="553"/>
      <c r="V48" s="552"/>
      <c r="W48" s="560"/>
      <c r="X48" s="562"/>
      <c r="Y48" s="436"/>
      <c r="Z48" s="563"/>
      <c r="AA48" s="564"/>
      <c r="AB48" s="565"/>
    </row>
    <row r="49" ht="15.75" customHeight="1">
      <c r="H49" s="567" t="s">
        <v>167</v>
      </c>
      <c r="I49" s="576">
        <f>(600+770)/H$42</f>
        <v>16.29594386</v>
      </c>
      <c r="J49" s="553">
        <f>((32)+(23.96+21.96+18.77+107.38+19.63+49.35))</f>
        <v>273.05</v>
      </c>
      <c r="K49" s="552">
        <f>(1070+4900)/K45</f>
        <v>71.92771084</v>
      </c>
      <c r="L49" s="553">
        <f>(518)/L45</f>
        <v>6.301703163</v>
      </c>
      <c r="M49" s="557">
        <f>(2200)/M45</f>
        <v>25.80342482</v>
      </c>
      <c r="N49" s="552"/>
      <c r="O49" s="553">
        <f>(3156+1720+2920)/O45</f>
        <v>90.69334574</v>
      </c>
      <c r="P49" s="574"/>
      <c r="Q49" s="554">
        <f>(4800)/Q45</f>
        <v>57.5815739</v>
      </c>
      <c r="R49" s="557">
        <f>(990+990)/R45</f>
        <v>23.64179104</v>
      </c>
      <c r="S49" s="553">
        <f>(2760+6270+2460)/S45</f>
        <v>138.9023211</v>
      </c>
      <c r="T49" s="554">
        <f>(1070+1890)/T45</f>
        <v>35.7444753</v>
      </c>
      <c r="U49" s="553">
        <f>(1995)/U45</f>
        <v>24.24942263</v>
      </c>
      <c r="V49" s="575">
        <f>(5200)/V45</f>
        <v>62.46996636</v>
      </c>
      <c r="W49" s="560"/>
      <c r="X49" s="578"/>
      <c r="Y49" s="563"/>
      <c r="Z49" s="563">
        <f>(3100)/Z45</f>
        <v>37.52572328</v>
      </c>
      <c r="AA49" s="564"/>
      <c r="AB49" s="565"/>
    </row>
    <row r="50" ht="15.75" customHeight="1">
      <c r="H50" s="598" t="s">
        <v>130</v>
      </c>
      <c r="I50" s="576">
        <f>(-3000+119000)/H$42 + 374.65</f>
        <v>1754.452545</v>
      </c>
      <c r="J50" s="552">
        <f>(4601/$J45)+12.72</f>
        <v>69.52246914</v>
      </c>
      <c r="K50" s="553"/>
      <c r="L50" s="554"/>
      <c r="M50" s="557"/>
      <c r="N50" s="553"/>
      <c r="P50" s="553"/>
      <c r="Q50" s="553"/>
      <c r="R50" s="557"/>
      <c r="S50" s="553"/>
      <c r="T50" s="553">
        <f>(24990)/T45</f>
        <v>301.7751479</v>
      </c>
      <c r="U50" s="553"/>
      <c r="V50" s="611">
        <f>(1999)/U45</f>
        <v>24.29804303</v>
      </c>
      <c r="W50" s="560"/>
      <c r="X50" s="562"/>
      <c r="Y50" s="562"/>
      <c r="Z50" s="436"/>
      <c r="AA50" s="564"/>
      <c r="AB50" s="565"/>
    </row>
    <row r="51" ht="15.75" customHeight="1">
      <c r="H51" s="586" t="s">
        <v>95</v>
      </c>
      <c r="I51" s="576">
        <f>(3495)/H$42</f>
        <v>41.57249911</v>
      </c>
      <c r="J51" s="553">
        <f>82.85</f>
        <v>82.85</v>
      </c>
      <c r="K51" s="619">
        <f>(3499/K45)</f>
        <v>42.15662651</v>
      </c>
      <c r="L51" s="553"/>
      <c r="M51" s="555">
        <f>19995/M45</f>
        <v>234.5179451</v>
      </c>
      <c r="N51" s="553">
        <f>(13985)/N45</f>
        <v>164.5294118</v>
      </c>
      <c r="O51" s="554"/>
      <c r="P51" s="553"/>
      <c r="Q51" s="554"/>
      <c r="R51" s="557"/>
      <c r="S51" s="553"/>
      <c r="T51" s="552">
        <f>2294/T45</f>
        <v>27.70196836</v>
      </c>
      <c r="U51" s="552">
        <f>(21990+20000-7961)/U45</f>
        <v>413.6258661</v>
      </c>
      <c r="V51" s="553">
        <f>(1990+3595)/V45</f>
        <v>67.09514656</v>
      </c>
      <c r="W51" s="560"/>
      <c r="X51" s="589"/>
      <c r="Y51" s="436"/>
      <c r="Z51" s="563"/>
      <c r="AA51" s="564"/>
      <c r="AB51" s="565"/>
    </row>
    <row r="52" ht="15.75" customHeight="1">
      <c r="H52" s="590" t="s">
        <v>97</v>
      </c>
      <c r="I52" s="576">
        <f>(0)/H$42</f>
        <v>0</v>
      </c>
      <c r="J52" s="552"/>
      <c r="K52" s="553"/>
      <c r="L52" s="553"/>
      <c r="M52" s="555"/>
      <c r="N52" s="553"/>
      <c r="O52" s="553"/>
      <c r="P52" s="553"/>
      <c r="Q52" s="553"/>
      <c r="R52" s="557"/>
      <c r="S52" s="553"/>
      <c r="T52" s="553"/>
      <c r="U52" s="553"/>
      <c r="V52" s="553"/>
      <c r="W52" s="560"/>
      <c r="X52" s="562"/>
      <c r="Y52" s="591">
        <f>(19971-5046)/Y45</f>
        <v>175.5262848</v>
      </c>
      <c r="Z52" s="436">
        <f>(20000-8400)/Z45</f>
        <v>140.4188355</v>
      </c>
      <c r="AA52" s="564"/>
      <c r="AB52" s="565"/>
    </row>
    <row r="53" ht="15.75" customHeight="1">
      <c r="H53" s="592" t="s">
        <v>171</v>
      </c>
      <c r="I53" s="594">
        <f>200</f>
        <v>200</v>
      </c>
      <c r="J53" s="641">
        <f>(14.11 + (9500/83))</f>
        <v>128.5678313</v>
      </c>
      <c r="K53" s="593"/>
      <c r="L53" s="593"/>
      <c r="M53" s="595"/>
      <c r="N53" s="594"/>
      <c r="O53" s="593">
        <f>(310+9500)/O45</f>
        <v>114.1228478</v>
      </c>
      <c r="P53" s="593"/>
      <c r="Q53" s="593"/>
      <c r="R53" s="595"/>
      <c r="S53" s="593"/>
      <c r="T53" s="593">
        <f>9500/T45</f>
        <v>114.7204444</v>
      </c>
      <c r="U53" s="593"/>
      <c r="V53" s="593"/>
      <c r="W53" s="596"/>
      <c r="X53" s="597"/>
      <c r="Y53" s="597">
        <f>(9500)/Y45 + (288.31+704.52)</f>
        <v>1104.555273</v>
      </c>
      <c r="Z53" s="600">
        <f>(42+16.9+6+12+13.84+4.05+10+10.4+6.5+50)*4.92</f>
        <v>844.7148</v>
      </c>
      <c r="AA53" s="602"/>
      <c r="AB53" s="603"/>
    </row>
    <row r="54" ht="15.75" customHeight="1">
      <c r="H54" s="604" t="s">
        <v>131</v>
      </c>
      <c r="I54" s="539">
        <f>(0)/H$42</f>
        <v>0</v>
      </c>
      <c r="J54" s="606">
        <f>69.92</f>
        <v>69.92</v>
      </c>
      <c r="K54" s="605"/>
      <c r="L54" s="605">
        <f>2800/L45</f>
        <v>34.06326034</v>
      </c>
      <c r="M54" s="608"/>
      <c r="N54" s="609"/>
      <c r="O54" s="606"/>
      <c r="P54" s="606"/>
      <c r="Q54" s="605">
        <f>(3880 -980)/Q45</f>
        <v>34.78886756</v>
      </c>
      <c r="R54" s="608">
        <f>(9500)/R45</f>
        <v>113.4328358</v>
      </c>
      <c r="S54" s="609">
        <f>(2440)/S45</f>
        <v>29.49709865</v>
      </c>
      <c r="T54" s="609"/>
      <c r="U54" s="606"/>
      <c r="V54" s="606"/>
      <c r="W54" s="612"/>
      <c r="X54" s="658">
        <f>(5300+13840)/X45</f>
        <v>230.1864101</v>
      </c>
      <c r="Y54" s="614"/>
      <c r="Z54" s="615"/>
      <c r="AA54" s="615"/>
      <c r="AB54" s="617"/>
    </row>
    <row r="55" ht="15.75" customHeight="1">
      <c r="H55" s="660" t="s">
        <v>190</v>
      </c>
      <c r="I55" s="662">
        <f>1000/83</f>
        <v>12.04819277</v>
      </c>
      <c r="J55" s="662">
        <f>10</f>
        <v>10</v>
      </c>
      <c r="K55" s="664">
        <f>(3900-1950)/83</f>
        <v>23.4939759</v>
      </c>
      <c r="L55" s="662">
        <f>150/L45 + (33677/L45)</f>
        <v>411.5206813</v>
      </c>
      <c r="M55" s="666"/>
      <c r="N55" s="662">
        <f>(6900+10000+4000+1496)/N45</f>
        <v>263.4823529</v>
      </c>
      <c r="O55" s="664"/>
      <c r="P55" s="664"/>
      <c r="Q55" s="667">
        <f>(50000)/Q45</f>
        <v>599.8080614</v>
      </c>
      <c r="R55" s="667"/>
      <c r="S55" s="664"/>
      <c r="T55" s="664"/>
      <c r="U55" s="664">
        <f>(70000)/U45</f>
        <v>850.8569345</v>
      </c>
      <c r="V55" s="662">
        <f>5000/V45</f>
        <v>60.06727535</v>
      </c>
      <c r="W55" s="670"/>
      <c r="X55" s="664">
        <f>(5300)/X45</f>
        <v>63.7402285</v>
      </c>
      <c r="Y55" s="662"/>
      <c r="Z55" s="670"/>
      <c r="AA55" s="670"/>
      <c r="AB55" s="672"/>
    </row>
    <row r="56" ht="17.25" customHeight="1">
      <c r="H56" s="624" t="s">
        <v>107</v>
      </c>
      <c r="I56" s="674">
        <v>389.0</v>
      </c>
      <c r="J56" s="627">
        <v>3510.0</v>
      </c>
      <c r="K56" s="627"/>
      <c r="L56" s="625"/>
      <c r="M56" s="628"/>
      <c r="N56" s="627">
        <v>3571.0</v>
      </c>
      <c r="O56" s="626"/>
      <c r="P56" s="625"/>
      <c r="Q56" s="625"/>
      <c r="R56" s="628"/>
      <c r="S56" s="627">
        <f>(521942)/S45 + 1671</f>
        <v>7980.743714</v>
      </c>
      <c r="T56" s="626"/>
      <c r="U56" s="625"/>
      <c r="V56" s="625"/>
      <c r="W56" s="630"/>
      <c r="X56" s="633">
        <f>(667210)/X45</f>
        <v>8024.173181</v>
      </c>
      <c r="Y56" s="634"/>
      <c r="Z56" s="634"/>
      <c r="AA56" s="635"/>
      <c r="AB56" s="636"/>
    </row>
    <row r="57" ht="25.5" customHeight="1">
      <c r="H57" s="637" t="s">
        <v>108</v>
      </c>
      <c r="I57" s="676" t="s">
        <v>191</v>
      </c>
      <c r="J57" s="304" t="s">
        <v>192</v>
      </c>
      <c r="K57" s="553"/>
      <c r="L57" s="303"/>
      <c r="M57" s="553"/>
      <c r="N57" s="553"/>
      <c r="O57" s="553"/>
      <c r="P57" s="553"/>
      <c r="Q57" s="553"/>
      <c r="R57" s="553"/>
      <c r="S57" s="553"/>
      <c r="T57" s="553"/>
      <c r="U57" s="553"/>
      <c r="V57" s="553"/>
      <c r="W57" s="553"/>
      <c r="X57" s="553"/>
      <c r="Y57" s="553"/>
      <c r="Z57" s="303"/>
      <c r="AA57" s="553"/>
      <c r="AB57" s="557"/>
    </row>
    <row r="58" ht="15.75" customHeight="1">
      <c r="H58" s="637" t="s">
        <v>111</v>
      </c>
      <c r="I58" s="553"/>
      <c r="J58" s="553"/>
      <c r="K58" s="553"/>
      <c r="L58" s="553"/>
      <c r="M58" s="553"/>
      <c r="N58" s="553"/>
      <c r="O58" s="553"/>
      <c r="P58" s="553"/>
      <c r="Q58" s="553"/>
      <c r="R58" s="553"/>
      <c r="S58" s="553"/>
      <c r="T58" s="553"/>
      <c r="U58" s="553"/>
      <c r="V58" s="553"/>
      <c r="W58" s="553"/>
      <c r="X58" s="553"/>
      <c r="Y58" s="553"/>
      <c r="Z58" s="553"/>
      <c r="AA58" s="553"/>
      <c r="AB58" s="557"/>
    </row>
    <row r="59" ht="15.75" customHeight="1">
      <c r="H59" s="643" t="s">
        <v>114</v>
      </c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25"/>
      <c r="AB59" s="628"/>
    </row>
    <row r="60" ht="15.75" customHeight="1"/>
    <row r="61" ht="15.75" customHeight="1"/>
    <row r="62" ht="15.75" customHeight="1"/>
    <row r="63" ht="15.75" customHeight="1">
      <c r="B63" s="679">
        <v>2022.0</v>
      </c>
      <c r="C63" s="384"/>
      <c r="D63" s="384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6"/>
    </row>
    <row r="64" ht="15.75" customHeight="1">
      <c r="B64" s="646"/>
      <c r="C64" s="249"/>
      <c r="D64" s="249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50"/>
    </row>
    <row r="65" ht="15.75" customHeight="1">
      <c r="B65" s="648" t="s">
        <v>154</v>
      </c>
      <c r="C65" s="681" t="s">
        <v>76</v>
      </c>
      <c r="D65" s="653" t="s">
        <v>77</v>
      </c>
      <c r="E65" s="651" t="s">
        <v>183</v>
      </c>
      <c r="F65" s="651" t="s">
        <v>184</v>
      </c>
      <c r="G65" s="650" t="s">
        <v>185</v>
      </c>
      <c r="H65" s="650" t="s">
        <v>186</v>
      </c>
      <c r="I65" s="650" t="s">
        <v>187</v>
      </c>
      <c r="J65" s="650" t="s">
        <v>124</v>
      </c>
      <c r="K65" s="651" t="s">
        <v>188</v>
      </c>
      <c r="L65" s="651" t="s">
        <v>147</v>
      </c>
      <c r="M65" s="650" t="s">
        <v>148</v>
      </c>
      <c r="N65" s="682" t="s">
        <v>149</v>
      </c>
      <c r="O65" s="655" t="s">
        <v>189</v>
      </c>
    </row>
    <row r="66" ht="15.75" customHeight="1">
      <c r="B66" s="656" t="s">
        <v>84</v>
      </c>
      <c r="C66" s="684">
        <f t="shared" ref="C66:C76" si="1">SUM(I5:M5)/72.7</f>
        <v>756.5337001</v>
      </c>
      <c r="D66" s="684">
        <f t="shared" ref="D66:D76" si="2">SUM(N5:R5)/72</f>
        <v>1527.777778</v>
      </c>
      <c r="E66" s="685">
        <f t="shared" ref="E66:E74" si="3">SUM(S5:W5)</f>
        <v>1200</v>
      </c>
      <c r="F66" s="687">
        <f t="shared" ref="F66:F74" si="4">SUM(X5:AB5)</f>
        <v>686</v>
      </c>
      <c r="G66" s="688">
        <f t="shared" ref="G66:G74" si="5">SUM(I25:M25)</f>
        <v>800</v>
      </c>
      <c r="H66" s="688">
        <f t="shared" ref="H66:H74" si="6">SUM(N25:R25)</f>
        <v>773.7</v>
      </c>
      <c r="I66" s="688">
        <f t="shared" ref="I66:I76" si="7">SUM(S25:W25)</f>
        <v>847.8</v>
      </c>
      <c r="J66" s="689">
        <f t="shared" ref="J66:J76" si="8">SUM(X25:AB25)</f>
        <v>4797.841905</v>
      </c>
      <c r="K66" s="689">
        <f t="shared" ref="K66:K76" si="9">SUM(I46:M46)</f>
        <v>19.46472019</v>
      </c>
      <c r="L66" s="689">
        <f t="shared" ref="L66:L76" si="10">SUM(N46:R46)</f>
        <v>966.4193005</v>
      </c>
      <c r="M66" s="689">
        <f t="shared" ref="M66:M76" si="11">SUM(S46:W46)</f>
        <v>1078.435474</v>
      </c>
      <c r="N66" s="689">
        <f t="shared" ref="N66:N76" si="12">SUM(X46:AB46)</f>
        <v>2583.185467</v>
      </c>
      <c r="O66" s="692">
        <f t="shared" ref="O66:O76" si="13">SUM(C66:N66)</f>
        <v>16037.15834</v>
      </c>
      <c r="Q66" s="669"/>
    </row>
    <row r="67" ht="15.75" customHeight="1">
      <c r="B67" s="671" t="s">
        <v>86</v>
      </c>
      <c r="C67" s="684">
        <f t="shared" si="1"/>
        <v>437.1664374</v>
      </c>
      <c r="D67" s="684">
        <f t="shared" si="2"/>
        <v>418.6493056</v>
      </c>
      <c r="E67" s="685">
        <f t="shared" si="3"/>
        <v>574.96</v>
      </c>
      <c r="F67" s="695">
        <f t="shared" si="4"/>
        <v>357.11</v>
      </c>
      <c r="G67" s="688">
        <f t="shared" si="5"/>
        <v>486.51</v>
      </c>
      <c r="H67" s="688">
        <f t="shared" si="6"/>
        <v>594.7</v>
      </c>
      <c r="I67" s="688">
        <f t="shared" si="7"/>
        <v>372.64</v>
      </c>
      <c r="J67" s="689">
        <f t="shared" si="8"/>
        <v>338.4490476</v>
      </c>
      <c r="K67" s="689">
        <f t="shared" si="9"/>
        <v>694.0739819</v>
      </c>
      <c r="L67" s="689">
        <f t="shared" si="10"/>
        <v>521.7736147</v>
      </c>
      <c r="M67" s="689">
        <f t="shared" si="11"/>
        <v>800.7585618</v>
      </c>
      <c r="N67" s="689">
        <f t="shared" si="12"/>
        <v>232.103846</v>
      </c>
      <c r="O67" s="692">
        <f t="shared" si="13"/>
        <v>5828.894795</v>
      </c>
    </row>
    <row r="68" ht="15.75" customHeight="1">
      <c r="B68" s="675" t="s">
        <v>88</v>
      </c>
      <c r="C68" s="684">
        <f t="shared" si="1"/>
        <v>25.39202201</v>
      </c>
      <c r="D68" s="684">
        <f t="shared" si="2"/>
        <v>59.81944444</v>
      </c>
      <c r="E68" s="685">
        <f t="shared" si="3"/>
        <v>73.05</v>
      </c>
      <c r="F68" s="695">
        <f t="shared" si="4"/>
        <v>3</v>
      </c>
      <c r="G68" s="688">
        <f t="shared" si="5"/>
        <v>7</v>
      </c>
      <c r="H68" s="688">
        <f t="shared" si="6"/>
        <v>37.27</v>
      </c>
      <c r="I68" s="688">
        <f t="shared" si="7"/>
        <v>128.7</v>
      </c>
      <c r="J68" s="689">
        <f t="shared" si="8"/>
        <v>6</v>
      </c>
      <c r="K68" s="689">
        <f t="shared" si="9"/>
        <v>0</v>
      </c>
      <c r="L68" s="689">
        <f t="shared" si="10"/>
        <v>14.00079789</v>
      </c>
      <c r="M68" s="689">
        <f t="shared" si="11"/>
        <v>0</v>
      </c>
      <c r="N68" s="689">
        <f t="shared" si="12"/>
        <v>0</v>
      </c>
      <c r="O68" s="692">
        <f t="shared" si="13"/>
        <v>354.2322643</v>
      </c>
    </row>
    <row r="69" ht="15.75" customHeight="1">
      <c r="B69" s="677" t="s">
        <v>159</v>
      </c>
      <c r="C69" s="684">
        <f t="shared" si="1"/>
        <v>109.8349381</v>
      </c>
      <c r="D69" s="684">
        <f t="shared" si="2"/>
        <v>155.4305556</v>
      </c>
      <c r="E69" s="685">
        <f t="shared" si="3"/>
        <v>26.95</v>
      </c>
      <c r="F69" s="695">
        <f t="shared" si="4"/>
        <v>22</v>
      </c>
      <c r="G69" s="688">
        <f t="shared" si="5"/>
        <v>60.5</v>
      </c>
      <c r="H69" s="688">
        <f t="shared" si="6"/>
        <v>90.4</v>
      </c>
      <c r="I69" s="688">
        <f t="shared" si="7"/>
        <v>0</v>
      </c>
      <c r="J69" s="689">
        <f t="shared" si="8"/>
        <v>82.26190476</v>
      </c>
      <c r="K69" s="689">
        <f t="shared" si="9"/>
        <v>393.3787827</v>
      </c>
      <c r="L69" s="689">
        <f t="shared" si="10"/>
        <v>171.9167107</v>
      </c>
      <c r="M69" s="689">
        <f t="shared" si="11"/>
        <v>261.3661854</v>
      </c>
      <c r="N69" s="689">
        <f t="shared" si="12"/>
        <v>37.52572328</v>
      </c>
      <c r="O69" s="692">
        <f t="shared" si="13"/>
        <v>1411.5648</v>
      </c>
    </row>
    <row r="70" ht="15.75" customHeight="1">
      <c r="B70" s="678" t="s">
        <v>105</v>
      </c>
      <c r="C70" s="684">
        <f t="shared" si="1"/>
        <v>0</v>
      </c>
      <c r="D70" s="684">
        <f t="shared" si="2"/>
        <v>50.69444444</v>
      </c>
      <c r="E70" s="685">
        <f t="shared" si="3"/>
        <v>5097</v>
      </c>
      <c r="F70" s="695">
        <f t="shared" si="4"/>
        <v>300</v>
      </c>
      <c r="G70" s="688">
        <f t="shared" si="5"/>
        <v>145</v>
      </c>
      <c r="H70" s="688">
        <f t="shared" si="6"/>
        <v>83</v>
      </c>
      <c r="I70" s="688">
        <f t="shared" si="7"/>
        <v>0</v>
      </c>
      <c r="J70" s="689">
        <f t="shared" si="8"/>
        <v>89.58333333</v>
      </c>
      <c r="K70" s="689">
        <f t="shared" si="9"/>
        <v>1823.975015</v>
      </c>
      <c r="L70" s="689">
        <f t="shared" si="10"/>
        <v>0</v>
      </c>
      <c r="M70" s="689">
        <f t="shared" si="11"/>
        <v>326.073191</v>
      </c>
      <c r="N70" s="689">
        <f t="shared" si="12"/>
        <v>0</v>
      </c>
      <c r="O70" s="692">
        <f t="shared" si="13"/>
        <v>7915.325983</v>
      </c>
    </row>
    <row r="71" ht="15.75" customHeight="1">
      <c r="B71" s="680" t="s">
        <v>95</v>
      </c>
      <c r="C71" s="684">
        <f t="shared" si="1"/>
        <v>0</v>
      </c>
      <c r="D71" s="684">
        <f t="shared" si="2"/>
        <v>0</v>
      </c>
      <c r="E71" s="685">
        <f t="shared" si="3"/>
        <v>89.98</v>
      </c>
      <c r="F71" s="695">
        <f t="shared" si="4"/>
        <v>0</v>
      </c>
      <c r="G71" s="688">
        <f t="shared" si="5"/>
        <v>0</v>
      </c>
      <c r="H71" s="688">
        <f t="shared" si="6"/>
        <v>48.57</v>
      </c>
      <c r="I71" s="688">
        <f t="shared" si="7"/>
        <v>0</v>
      </c>
      <c r="J71" s="689">
        <f t="shared" si="8"/>
        <v>41.60714286</v>
      </c>
      <c r="K71" s="689">
        <f t="shared" si="9"/>
        <v>401.0970707</v>
      </c>
      <c r="L71" s="689">
        <f t="shared" si="10"/>
        <v>164.5294118</v>
      </c>
      <c r="M71" s="689">
        <f t="shared" si="11"/>
        <v>508.422981</v>
      </c>
      <c r="N71" s="689">
        <f t="shared" si="12"/>
        <v>0</v>
      </c>
      <c r="O71" s="692">
        <f t="shared" si="13"/>
        <v>1254.206606</v>
      </c>
    </row>
    <row r="72" ht="15.75" customHeight="1">
      <c r="B72" s="683" t="s">
        <v>97</v>
      </c>
      <c r="C72" s="684">
        <f t="shared" si="1"/>
        <v>0</v>
      </c>
      <c r="D72" s="684">
        <f t="shared" si="2"/>
        <v>288.1805556</v>
      </c>
      <c r="E72" s="685">
        <f t="shared" si="3"/>
        <v>117</v>
      </c>
      <c r="F72" s="695">
        <f t="shared" si="4"/>
        <v>95</v>
      </c>
      <c r="G72" s="688">
        <f t="shared" si="5"/>
        <v>0</v>
      </c>
      <c r="H72" s="688">
        <f t="shared" si="6"/>
        <v>65</v>
      </c>
      <c r="I72" s="688">
        <f t="shared" si="7"/>
        <v>0</v>
      </c>
      <c r="J72" s="689">
        <f t="shared" si="8"/>
        <v>34</v>
      </c>
      <c r="K72" s="689">
        <f t="shared" si="9"/>
        <v>0</v>
      </c>
      <c r="L72" s="689">
        <f t="shared" si="10"/>
        <v>0</v>
      </c>
      <c r="M72" s="689">
        <f t="shared" si="11"/>
        <v>0</v>
      </c>
      <c r="N72" s="689">
        <f t="shared" si="12"/>
        <v>315.9451203</v>
      </c>
      <c r="O72" s="692">
        <f t="shared" si="13"/>
        <v>915.1256759</v>
      </c>
    </row>
    <row r="73" ht="15.75" customHeight="1">
      <c r="B73" s="686" t="s">
        <v>113</v>
      </c>
      <c r="C73" s="684">
        <f t="shared" si="1"/>
        <v>47.45529574</v>
      </c>
      <c r="D73" s="684">
        <f t="shared" si="2"/>
        <v>165.1111111</v>
      </c>
      <c r="E73" s="685">
        <f t="shared" si="3"/>
        <v>26</v>
      </c>
      <c r="F73" s="695">
        <f t="shared" si="4"/>
        <v>144</v>
      </c>
      <c r="G73" s="688">
        <f t="shared" si="5"/>
        <v>70</v>
      </c>
      <c r="H73" s="688">
        <f t="shared" si="6"/>
        <v>88</v>
      </c>
      <c r="I73" s="688">
        <f t="shared" si="7"/>
        <v>34</v>
      </c>
      <c r="J73" s="689">
        <f t="shared" si="8"/>
        <v>626.5952381</v>
      </c>
      <c r="K73" s="689">
        <f t="shared" si="9"/>
        <v>328.5678313</v>
      </c>
      <c r="L73" s="689">
        <f t="shared" si="10"/>
        <v>114.1228478</v>
      </c>
      <c r="M73" s="689">
        <f t="shared" si="11"/>
        <v>114.7204444</v>
      </c>
      <c r="N73" s="689">
        <f t="shared" si="12"/>
        <v>1949.270073</v>
      </c>
      <c r="O73" s="692">
        <f t="shared" si="13"/>
        <v>3707.842842</v>
      </c>
    </row>
    <row r="74" ht="15.75" customHeight="1">
      <c r="B74" s="690" t="s">
        <v>133</v>
      </c>
      <c r="C74" s="684">
        <f t="shared" si="1"/>
        <v>867.5352132</v>
      </c>
      <c r="D74" s="684">
        <f t="shared" si="2"/>
        <v>13.125</v>
      </c>
      <c r="E74" s="685">
        <f t="shared" si="3"/>
        <v>200</v>
      </c>
      <c r="F74" s="695">
        <f t="shared" si="4"/>
        <v>20</v>
      </c>
      <c r="G74" s="688">
        <f t="shared" si="5"/>
        <v>17</v>
      </c>
      <c r="H74" s="688">
        <f t="shared" si="6"/>
        <v>150</v>
      </c>
      <c r="I74" s="688">
        <f t="shared" si="7"/>
        <v>30</v>
      </c>
      <c r="J74" s="689">
        <f t="shared" si="8"/>
        <v>0</v>
      </c>
      <c r="K74" s="689">
        <f t="shared" si="9"/>
        <v>103.9832603</v>
      </c>
      <c r="L74" s="689">
        <f t="shared" si="10"/>
        <v>148.2217034</v>
      </c>
      <c r="M74" s="689">
        <f t="shared" si="11"/>
        <v>29.49709865</v>
      </c>
      <c r="N74" s="689">
        <f t="shared" si="12"/>
        <v>230.1864101</v>
      </c>
      <c r="O74" s="692">
        <f t="shared" si="13"/>
        <v>1809.548686</v>
      </c>
    </row>
    <row r="75" ht="15.75" customHeight="1">
      <c r="B75" s="680" t="s">
        <v>193</v>
      </c>
      <c r="C75" s="684">
        <f t="shared" si="1"/>
        <v>68.77579092</v>
      </c>
      <c r="D75" s="684">
        <f t="shared" si="2"/>
        <v>421.6666667</v>
      </c>
      <c r="E75" s="712"/>
      <c r="F75" s="713"/>
      <c r="G75" s="688"/>
      <c r="H75" s="688"/>
      <c r="I75" s="688">
        <f t="shared" si="7"/>
        <v>22</v>
      </c>
      <c r="J75" s="689">
        <f t="shared" si="8"/>
        <v>167.6190476</v>
      </c>
      <c r="K75" s="689">
        <f t="shared" si="9"/>
        <v>457.0628499</v>
      </c>
      <c r="L75" s="689">
        <f t="shared" si="10"/>
        <v>863.2904144</v>
      </c>
      <c r="M75" s="689">
        <f t="shared" si="11"/>
        <v>910.9242098</v>
      </c>
      <c r="N75" s="689">
        <f t="shared" si="12"/>
        <v>63.7402285</v>
      </c>
      <c r="O75" s="692">
        <f t="shared" si="13"/>
        <v>2975.079208</v>
      </c>
    </row>
    <row r="76" ht="15.75" customHeight="1">
      <c r="B76" s="696" t="s">
        <v>107</v>
      </c>
      <c r="C76" s="684">
        <f t="shared" si="1"/>
        <v>3053.645117</v>
      </c>
      <c r="D76" s="684">
        <f t="shared" si="2"/>
        <v>4751.402778</v>
      </c>
      <c r="E76" s="712">
        <f>SUM(S15:W15)</f>
        <v>3510</v>
      </c>
      <c r="F76" s="713">
        <f>SUM(X15:AB15)</f>
        <v>3910</v>
      </c>
      <c r="G76" s="688">
        <f>SUM(I35:M35)</f>
        <v>4020</v>
      </c>
      <c r="H76" s="688">
        <f>SUM(N35:R35)</f>
        <v>3652</v>
      </c>
      <c r="I76" s="688">
        <f t="shared" si="7"/>
        <v>3510</v>
      </c>
      <c r="J76" s="689">
        <f t="shared" si="8"/>
        <v>8765</v>
      </c>
      <c r="K76" s="689">
        <f t="shared" si="9"/>
        <v>3899</v>
      </c>
      <c r="L76" s="689">
        <f t="shared" si="10"/>
        <v>3571</v>
      </c>
      <c r="M76" s="689">
        <f t="shared" si="11"/>
        <v>7980.743714</v>
      </c>
      <c r="N76" s="689">
        <f t="shared" si="12"/>
        <v>8024.173181</v>
      </c>
      <c r="O76" s="714">
        <f t="shared" si="13"/>
        <v>58646.96479</v>
      </c>
    </row>
    <row r="77" ht="15.75" customHeight="1">
      <c r="B77" s="698" t="s">
        <v>194</v>
      </c>
      <c r="C77" s="715">
        <f t="shared" ref="C77:J77" si="14">SUM(C66:C75)+$C20+$C21</f>
        <v>2338.693398</v>
      </c>
      <c r="D77" s="715">
        <f t="shared" si="14"/>
        <v>3126.454861</v>
      </c>
      <c r="E77" s="715">
        <f t="shared" si="14"/>
        <v>7430.94</v>
      </c>
      <c r="F77" s="715">
        <f t="shared" si="14"/>
        <v>1653.11</v>
      </c>
      <c r="G77" s="715">
        <f t="shared" si="14"/>
        <v>1612.01</v>
      </c>
      <c r="H77" s="715">
        <f t="shared" si="14"/>
        <v>1956.64</v>
      </c>
      <c r="I77" s="715">
        <f t="shared" si="14"/>
        <v>1461.14</v>
      </c>
      <c r="J77" s="716">
        <f t="shared" si="14"/>
        <v>6209.957619</v>
      </c>
      <c r="K77" s="715">
        <f t="shared" ref="K77:N77" si="15">SUM(K66:K75)+$C20</f>
        <v>4231.603512</v>
      </c>
      <c r="L77" s="715">
        <f t="shared" si="15"/>
        <v>2974.274801</v>
      </c>
      <c r="M77" s="715">
        <f t="shared" si="15"/>
        <v>4040.198146</v>
      </c>
      <c r="N77" s="715">
        <f t="shared" si="15"/>
        <v>5421.956869</v>
      </c>
      <c r="O77" s="717"/>
    </row>
    <row r="78" ht="15.75" customHeight="1">
      <c r="B78" s="702" t="s">
        <v>195</v>
      </c>
      <c r="C78" s="718">
        <f t="shared" ref="C78:N78" si="16">C76</f>
        <v>3053.645117</v>
      </c>
      <c r="D78" s="718">
        <f t="shared" si="16"/>
        <v>4751.402778</v>
      </c>
      <c r="E78" s="718">
        <f t="shared" si="16"/>
        <v>3510</v>
      </c>
      <c r="F78" s="718">
        <f t="shared" si="16"/>
        <v>3910</v>
      </c>
      <c r="G78" s="718">
        <f t="shared" si="16"/>
        <v>4020</v>
      </c>
      <c r="H78" s="718">
        <f t="shared" si="16"/>
        <v>3652</v>
      </c>
      <c r="I78" s="718">
        <f t="shared" si="16"/>
        <v>3510</v>
      </c>
      <c r="J78" s="718">
        <f t="shared" si="16"/>
        <v>8765</v>
      </c>
      <c r="K78" s="718">
        <f t="shared" si="16"/>
        <v>3899</v>
      </c>
      <c r="L78" s="718">
        <f t="shared" si="16"/>
        <v>3571</v>
      </c>
      <c r="M78" s="718">
        <f t="shared" si="16"/>
        <v>7980.743714</v>
      </c>
      <c r="N78" s="719">
        <f t="shared" si="16"/>
        <v>8024.173181</v>
      </c>
      <c r="O78" s="717"/>
    </row>
    <row r="79" ht="15.75" customHeight="1">
      <c r="B79" s="705" t="s">
        <v>69</v>
      </c>
      <c r="C79" s="720">
        <f t="shared" ref="C79:N79" si="17">(C78 - C77)</f>
        <v>714.9517194</v>
      </c>
      <c r="D79" s="720">
        <f t="shared" si="17"/>
        <v>1624.947917</v>
      </c>
      <c r="E79" s="720">
        <f t="shared" si="17"/>
        <v>-3920.94</v>
      </c>
      <c r="F79" s="720">
        <f t="shared" si="17"/>
        <v>2256.89</v>
      </c>
      <c r="G79" s="720">
        <f t="shared" si="17"/>
        <v>2407.99</v>
      </c>
      <c r="H79" s="720">
        <f t="shared" si="17"/>
        <v>1695.36</v>
      </c>
      <c r="I79" s="720">
        <f t="shared" si="17"/>
        <v>2048.86</v>
      </c>
      <c r="J79" s="720">
        <f t="shared" si="17"/>
        <v>2555.042381</v>
      </c>
      <c r="K79" s="720">
        <f t="shared" si="17"/>
        <v>-332.6035118</v>
      </c>
      <c r="L79" s="720">
        <f t="shared" si="17"/>
        <v>596.7251988</v>
      </c>
      <c r="M79" s="720">
        <f t="shared" si="17"/>
        <v>3940.545568</v>
      </c>
      <c r="N79" s="721">
        <f t="shared" si="17"/>
        <v>2602.216312</v>
      </c>
      <c r="O79" s="717"/>
    </row>
    <row r="80" ht="15.75" customHeight="1">
      <c r="B80" s="708" t="s">
        <v>196</v>
      </c>
      <c r="C80" s="722">
        <f t="shared" ref="C80:C81" si="18">SUM(C77:N77)</f>
        <v>42456.97921</v>
      </c>
      <c r="D80" s="249"/>
      <c r="E80" s="249"/>
      <c r="F80" s="249"/>
      <c r="G80" s="249"/>
      <c r="H80" s="249"/>
      <c r="I80" s="249"/>
      <c r="J80" s="249"/>
      <c r="K80" s="249"/>
      <c r="L80" s="249"/>
      <c r="M80" s="249"/>
      <c r="N80" s="250"/>
      <c r="O80" s="723"/>
    </row>
    <row r="81" ht="15.75" customHeight="1">
      <c r="B81" s="710" t="s">
        <v>197</v>
      </c>
      <c r="C81" s="724">
        <f t="shared" si="18"/>
        <v>58646.96479</v>
      </c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7"/>
      <c r="O81" s="723"/>
    </row>
    <row r="82" ht="15.75" customHeight="1">
      <c r="B82" s="710" t="s">
        <v>198</v>
      </c>
      <c r="C82" s="724">
        <f>(C81-C80)</f>
        <v>16189.98558</v>
      </c>
      <c r="D82" s="246"/>
      <c r="E82" s="246"/>
      <c r="F82" s="246"/>
      <c r="G82" s="246"/>
      <c r="H82" s="246"/>
      <c r="I82" s="246"/>
      <c r="J82" s="246"/>
      <c r="K82" s="246"/>
      <c r="L82" s="246"/>
      <c r="M82" s="246"/>
      <c r="N82" s="247"/>
      <c r="O82" s="72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37">
    <mergeCell ref="A1:AB2"/>
    <mergeCell ref="I3:M3"/>
    <mergeCell ref="N3:R3"/>
    <mergeCell ref="S3:W3"/>
    <mergeCell ref="X3:AB3"/>
    <mergeCell ref="C4:G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B19:H19"/>
    <mergeCell ref="C20:H20"/>
    <mergeCell ref="C21:H21"/>
    <mergeCell ref="I23:M23"/>
    <mergeCell ref="N23:R23"/>
    <mergeCell ref="S23:W23"/>
    <mergeCell ref="X23:AB23"/>
    <mergeCell ref="I42:AB42"/>
    <mergeCell ref="C81:N81"/>
    <mergeCell ref="C82:N82"/>
    <mergeCell ref="H43:H44"/>
    <mergeCell ref="I43:M43"/>
    <mergeCell ref="N43:R43"/>
    <mergeCell ref="S43:W43"/>
    <mergeCell ref="X43:AB43"/>
    <mergeCell ref="B63:O64"/>
    <mergeCell ref="C80:N80"/>
  </mergeCells>
  <printOptions/>
  <pageMargins bottom="0.75" footer="0.0" header="0.0" left="0.7" right="0.7" top="0.75"/>
  <pageSetup orientation="portrait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23.43"/>
    <col customWidth="1" min="3" max="7" width="8.71"/>
    <col customWidth="1" min="8" max="8" width="37.29"/>
    <col customWidth="1" min="9" max="10" width="8.71"/>
    <col customWidth="1" min="11" max="11" width="13.29"/>
    <col customWidth="1" min="12" max="12" width="13.43"/>
    <col customWidth="1" min="13" max="13" width="13.86"/>
    <col customWidth="1" min="14" max="14" width="13.43"/>
    <col customWidth="1" min="15" max="27" width="8.71"/>
    <col customWidth="1" min="28" max="28" width="10.0"/>
    <col customWidth="1" min="29" max="31" width="8.71"/>
  </cols>
  <sheetData>
    <row r="1">
      <c r="A1" s="238" t="s">
        <v>74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40"/>
    </row>
    <row r="2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3"/>
    </row>
    <row r="3">
      <c r="H3" s="244" t="s">
        <v>75</v>
      </c>
      <c r="I3" s="251" t="s">
        <v>76</v>
      </c>
      <c r="J3" s="223"/>
      <c r="K3" s="223"/>
      <c r="L3" s="223"/>
      <c r="M3" s="252"/>
      <c r="N3" s="251" t="s">
        <v>77</v>
      </c>
      <c r="O3" s="223"/>
      <c r="P3" s="223"/>
      <c r="Q3" s="223"/>
      <c r="R3" s="252"/>
      <c r="S3" s="251" t="s">
        <v>78</v>
      </c>
      <c r="T3" s="223"/>
      <c r="U3" s="223"/>
      <c r="V3" s="223"/>
      <c r="W3" s="252"/>
      <c r="X3" s="253" t="s">
        <v>79</v>
      </c>
      <c r="Y3" s="254"/>
      <c r="Z3" s="254"/>
      <c r="AA3" s="254"/>
      <c r="AB3" s="255"/>
      <c r="AD3" s="256"/>
      <c r="AE3" s="256"/>
    </row>
    <row r="4">
      <c r="B4" s="257" t="s">
        <v>80</v>
      </c>
      <c r="C4" s="258" t="s">
        <v>81</v>
      </c>
      <c r="D4" s="139"/>
      <c r="E4" s="139"/>
      <c r="F4" s="139"/>
      <c r="G4" s="259"/>
      <c r="H4" s="258" t="s">
        <v>82</v>
      </c>
      <c r="I4" s="263">
        <v>1.0</v>
      </c>
      <c r="J4" s="257">
        <v>2.0</v>
      </c>
      <c r="K4" s="257">
        <v>3.0</v>
      </c>
      <c r="L4" s="257">
        <v>4.0</v>
      </c>
      <c r="M4" s="264">
        <v>5.0</v>
      </c>
      <c r="N4" s="263">
        <v>1.0</v>
      </c>
      <c r="O4" s="257">
        <v>2.0</v>
      </c>
      <c r="P4" s="257">
        <v>3.0</v>
      </c>
      <c r="Q4" s="257">
        <v>4.0</v>
      </c>
      <c r="R4" s="264">
        <v>5.0</v>
      </c>
      <c r="S4" s="263">
        <v>1.0</v>
      </c>
      <c r="T4" s="257">
        <v>2.0</v>
      </c>
      <c r="U4" s="257">
        <v>3.0</v>
      </c>
      <c r="V4" s="257">
        <v>4.0</v>
      </c>
      <c r="W4" s="258">
        <v>5.0</v>
      </c>
      <c r="X4" s="265">
        <v>1.0</v>
      </c>
      <c r="Y4" s="266">
        <v>2.0</v>
      </c>
      <c r="Z4" s="266">
        <v>3.0</v>
      </c>
      <c r="AA4" s="266">
        <v>4.0</v>
      </c>
      <c r="AB4" s="267">
        <v>5.0</v>
      </c>
      <c r="AD4" s="268"/>
      <c r="AE4" s="268"/>
    </row>
    <row r="5">
      <c r="B5" s="269" t="s">
        <v>83</v>
      </c>
      <c r="C5" s="270" t="s">
        <v>84</v>
      </c>
      <c r="D5" s="254"/>
      <c r="E5" s="254"/>
      <c r="F5" s="254"/>
      <c r="G5" s="254"/>
      <c r="H5" s="255"/>
      <c r="I5" s="324">
        <v>320.0</v>
      </c>
      <c r="J5" s="272">
        <v>53.0</v>
      </c>
      <c r="K5" s="272">
        <v>100.0</v>
      </c>
      <c r="L5" s="272">
        <v>30.0</v>
      </c>
      <c r="M5" s="273"/>
      <c r="N5" s="271">
        <v>320.0</v>
      </c>
      <c r="O5" s="274">
        <v>50.0</v>
      </c>
      <c r="P5" s="274">
        <v>20.0</v>
      </c>
      <c r="Q5" s="274">
        <v>39.0</v>
      </c>
      <c r="R5" s="273"/>
      <c r="S5" s="271">
        <v>323.0</v>
      </c>
      <c r="T5" s="274">
        <v>100.0</v>
      </c>
      <c r="U5" s="274">
        <v>92.0</v>
      </c>
      <c r="V5" s="274"/>
      <c r="W5" s="275"/>
      <c r="X5" s="276">
        <v>328.0</v>
      </c>
      <c r="Y5" s="277">
        <v>50.0</v>
      </c>
      <c r="Z5" s="277">
        <v>45.0</v>
      </c>
      <c r="AA5" s="278"/>
      <c r="AB5" s="327"/>
      <c r="AD5" s="6"/>
      <c r="AE5" s="6"/>
    </row>
    <row r="6">
      <c r="B6" s="280" t="s">
        <v>85</v>
      </c>
      <c r="C6" s="281" t="s">
        <v>86</v>
      </c>
      <c r="D6" s="282"/>
      <c r="E6" s="282"/>
      <c r="F6" s="282"/>
      <c r="G6" s="282"/>
      <c r="H6" s="283"/>
      <c r="I6" s="329">
        <v>157.0</v>
      </c>
      <c r="J6" s="285">
        <v>8.0</v>
      </c>
      <c r="K6" s="285">
        <v>100.0</v>
      </c>
      <c r="L6" s="285">
        <v>30.0</v>
      </c>
      <c r="M6" s="287">
        <v>3.0</v>
      </c>
      <c r="N6" s="284">
        <v>30.0</v>
      </c>
      <c r="O6" s="286">
        <v>26.0</v>
      </c>
      <c r="P6" s="286">
        <v>60.0</v>
      </c>
      <c r="Q6" s="286">
        <v>86.0</v>
      </c>
      <c r="R6" s="287">
        <v>83.0</v>
      </c>
      <c r="S6" s="284">
        <v>44.0</v>
      </c>
      <c r="T6" s="286">
        <v>199.0</v>
      </c>
      <c r="U6" s="286">
        <v>45.0</v>
      </c>
      <c r="V6" s="286">
        <v>37.0</v>
      </c>
      <c r="W6" s="288">
        <v>57.0</v>
      </c>
      <c r="X6" s="289">
        <v>83.0</v>
      </c>
      <c r="Y6" s="291">
        <v>71.0</v>
      </c>
      <c r="Z6" s="291">
        <v>44.0</v>
      </c>
      <c r="AA6" s="291">
        <v>77.0</v>
      </c>
      <c r="AB6" s="292">
        <v>103.0</v>
      </c>
      <c r="AD6" s="6"/>
      <c r="AE6" s="6"/>
    </row>
    <row r="7">
      <c r="B7" s="293" t="s">
        <v>87</v>
      </c>
      <c r="C7" s="294" t="s">
        <v>88</v>
      </c>
      <c r="D7" s="282"/>
      <c r="E7" s="282"/>
      <c r="F7" s="282"/>
      <c r="G7" s="282"/>
      <c r="H7" s="283"/>
      <c r="I7" s="295">
        <v>10.0</v>
      </c>
      <c r="J7" s="296"/>
      <c r="K7" s="296"/>
      <c r="L7" s="296"/>
      <c r="M7" s="298"/>
      <c r="N7" s="295"/>
      <c r="O7" s="296"/>
      <c r="P7" s="296"/>
      <c r="Q7" s="296"/>
      <c r="R7" s="298"/>
      <c r="S7" s="295"/>
      <c r="T7" s="296"/>
      <c r="U7" s="297">
        <v>0.0</v>
      </c>
      <c r="V7" s="296"/>
      <c r="W7" s="301"/>
      <c r="X7" s="302"/>
      <c r="Y7" s="303"/>
      <c r="Z7" s="304">
        <v>13.0</v>
      </c>
      <c r="AA7" s="304"/>
      <c r="AB7" s="305">
        <v>10.0</v>
      </c>
      <c r="AD7" s="6"/>
      <c r="AE7" s="6"/>
    </row>
    <row r="8">
      <c r="B8" s="306" t="s">
        <v>89</v>
      </c>
      <c r="C8" s="294" t="s">
        <v>104</v>
      </c>
      <c r="D8" s="282"/>
      <c r="E8" s="282"/>
      <c r="F8" s="282"/>
      <c r="G8" s="282"/>
      <c r="H8" s="283"/>
      <c r="I8" s="295">
        <v>70.0</v>
      </c>
      <c r="J8" s="296">
        <v>20.0</v>
      </c>
      <c r="K8" s="296">
        <v>31.0</v>
      </c>
      <c r="L8" s="296"/>
      <c r="M8" s="298"/>
      <c r="N8" s="300">
        <v>33.0</v>
      </c>
      <c r="O8" s="296"/>
      <c r="P8" s="297">
        <v>66.0</v>
      </c>
      <c r="Q8" s="296"/>
      <c r="R8" s="299">
        <v>63.0</v>
      </c>
      <c r="S8" s="300">
        <v>33.0</v>
      </c>
      <c r="T8" s="297">
        <v>25.0</v>
      </c>
      <c r="U8" s="297"/>
      <c r="V8" s="296"/>
      <c r="W8" s="310"/>
      <c r="X8" s="302"/>
      <c r="Y8" s="303"/>
      <c r="Z8" s="303"/>
      <c r="AA8" s="303"/>
      <c r="AB8" s="311"/>
      <c r="AD8" s="6"/>
      <c r="AE8" s="6"/>
    </row>
    <row r="9">
      <c r="B9" s="312" t="s">
        <v>91</v>
      </c>
      <c r="C9" s="294" t="s">
        <v>105</v>
      </c>
      <c r="D9" s="282"/>
      <c r="E9" s="282"/>
      <c r="F9" s="282"/>
      <c r="G9" s="282"/>
      <c r="H9" s="283"/>
      <c r="I9" s="295">
        <v>160.0</v>
      </c>
      <c r="J9" s="296">
        <v>2322.0</v>
      </c>
      <c r="K9" s="296"/>
      <c r="L9" s="296"/>
      <c r="M9" s="298"/>
      <c r="N9" s="300">
        <v>50.0</v>
      </c>
      <c r="O9" s="297">
        <v>50.0</v>
      </c>
      <c r="P9" s="296"/>
      <c r="Q9" s="296"/>
      <c r="R9" s="298"/>
      <c r="S9" s="359">
        <v>560.0</v>
      </c>
      <c r="T9" s="297"/>
      <c r="U9" s="296"/>
      <c r="V9" s="296"/>
      <c r="W9" s="301"/>
      <c r="X9" s="302"/>
      <c r="Y9" s="303"/>
      <c r="Z9" s="304">
        <v>50.0</v>
      </c>
      <c r="AA9" s="303"/>
      <c r="AB9" s="311"/>
      <c r="AD9" s="6"/>
      <c r="AE9" s="6"/>
    </row>
    <row r="10">
      <c r="B10" s="315" t="s">
        <v>94</v>
      </c>
      <c r="C10" s="294" t="s">
        <v>95</v>
      </c>
      <c r="D10" s="282"/>
      <c r="E10" s="282"/>
      <c r="F10" s="282"/>
      <c r="G10" s="282"/>
      <c r="H10" s="283"/>
      <c r="I10" s="295">
        <v>60.0</v>
      </c>
      <c r="J10" s="296"/>
      <c r="K10" s="296"/>
      <c r="L10" s="296"/>
      <c r="M10" s="298"/>
      <c r="N10" s="300">
        <v>45.0</v>
      </c>
      <c r="O10" s="296"/>
      <c r="P10" s="296"/>
      <c r="Q10" s="296"/>
      <c r="R10" s="369">
        <v>56.0</v>
      </c>
      <c r="S10" s="300"/>
      <c r="T10" s="296"/>
      <c r="U10" s="297">
        <v>0.0</v>
      </c>
      <c r="V10" s="296"/>
      <c r="W10" s="301"/>
      <c r="X10" s="302"/>
      <c r="Y10" s="303"/>
      <c r="Z10" s="303"/>
      <c r="AA10" s="303"/>
      <c r="AB10" s="374">
        <v>167.0</v>
      </c>
      <c r="AD10" s="6"/>
      <c r="AE10" s="6"/>
    </row>
    <row r="11">
      <c r="B11" s="316" t="s">
        <v>96</v>
      </c>
      <c r="C11" s="317" t="s">
        <v>97</v>
      </c>
      <c r="D11" s="282"/>
      <c r="E11" s="282"/>
      <c r="F11" s="282"/>
      <c r="G11" s="282"/>
      <c r="H11" s="283"/>
      <c r="I11" s="300"/>
      <c r="J11" s="296"/>
      <c r="K11" s="297"/>
      <c r="L11" s="297"/>
      <c r="M11" s="298"/>
      <c r="N11" s="302"/>
      <c r="O11" s="303"/>
      <c r="P11" s="303"/>
      <c r="Q11" s="303"/>
      <c r="R11" s="305">
        <v>86.0</v>
      </c>
      <c r="S11" s="300"/>
      <c r="T11" s="296"/>
      <c r="U11" s="297"/>
      <c r="V11" s="297"/>
      <c r="W11" s="301"/>
      <c r="X11" s="302"/>
      <c r="Y11" s="303"/>
      <c r="Z11" s="303"/>
      <c r="AA11" s="304"/>
      <c r="AB11" s="311"/>
      <c r="AD11" s="6"/>
      <c r="AE11" s="6"/>
    </row>
    <row r="12">
      <c r="B12" s="319" t="s">
        <v>98</v>
      </c>
      <c r="C12" s="320" t="s">
        <v>113</v>
      </c>
      <c r="D12" s="282"/>
      <c r="E12" s="282"/>
      <c r="F12" s="282"/>
      <c r="G12" s="282"/>
      <c r="H12" s="283"/>
      <c r="I12" s="326"/>
      <c r="J12" s="322"/>
      <c r="K12" s="322"/>
      <c r="L12" s="322"/>
      <c r="M12" s="323"/>
      <c r="N12" s="326"/>
      <c r="O12" s="322"/>
      <c r="P12" s="322"/>
      <c r="Q12" s="322"/>
      <c r="R12" s="323"/>
      <c r="S12" s="326"/>
      <c r="T12" s="322"/>
      <c r="U12" s="322"/>
      <c r="V12" s="322"/>
      <c r="W12" s="328"/>
      <c r="X12" s="321">
        <v>92.0</v>
      </c>
      <c r="Y12" s="322"/>
      <c r="Z12" s="322"/>
      <c r="AA12" s="330">
        <v>8.0</v>
      </c>
      <c r="AB12" s="323"/>
      <c r="AD12" s="6"/>
      <c r="AE12" s="6"/>
    </row>
    <row r="13">
      <c r="B13" s="331" t="s">
        <v>100</v>
      </c>
      <c r="C13" s="346" t="s">
        <v>116</v>
      </c>
      <c r="D13" s="139"/>
      <c r="E13" s="139"/>
      <c r="F13" s="139"/>
      <c r="G13" s="139"/>
      <c r="H13" s="333"/>
      <c r="I13" s="383"/>
      <c r="J13" s="347"/>
      <c r="K13" s="347"/>
      <c r="L13" s="347"/>
      <c r="M13" s="348"/>
      <c r="N13" s="263"/>
      <c r="O13" s="347"/>
      <c r="P13" s="257"/>
      <c r="Q13" s="257"/>
      <c r="R13" s="264"/>
      <c r="S13" s="263"/>
      <c r="T13" s="257"/>
      <c r="U13" s="257"/>
      <c r="V13" s="257"/>
      <c r="W13" s="350"/>
      <c r="X13" s="385"/>
      <c r="Y13" s="387"/>
      <c r="Z13" s="387"/>
      <c r="AA13" s="389"/>
      <c r="AB13" s="390"/>
    </row>
    <row r="14">
      <c r="B14" s="345" t="s">
        <v>102</v>
      </c>
      <c r="C14" s="346" t="s">
        <v>119</v>
      </c>
      <c r="D14" s="139"/>
      <c r="E14" s="139"/>
      <c r="F14" s="139"/>
      <c r="G14" s="139"/>
      <c r="H14" s="333"/>
      <c r="I14" s="383"/>
      <c r="J14" s="347"/>
      <c r="K14" s="347"/>
      <c r="L14" s="347"/>
      <c r="M14" s="348"/>
      <c r="N14" s="263"/>
      <c r="O14" s="347"/>
      <c r="P14" s="257"/>
      <c r="Q14" s="257"/>
      <c r="R14" s="394"/>
      <c r="S14" s="263"/>
      <c r="T14" s="257"/>
      <c r="U14" s="257"/>
      <c r="V14" s="257"/>
      <c r="W14" s="350"/>
      <c r="X14" s="351"/>
      <c r="Y14" s="352"/>
      <c r="Z14" s="352"/>
      <c r="AA14" s="395"/>
      <c r="AB14" s="353"/>
    </row>
    <row r="15">
      <c r="B15" s="354" t="s">
        <v>106</v>
      </c>
      <c r="C15" s="355" t="s">
        <v>107</v>
      </c>
      <c r="D15" s="356"/>
      <c r="E15" s="356"/>
      <c r="F15" s="356"/>
      <c r="G15" s="356"/>
      <c r="H15" s="357"/>
      <c r="I15" s="397">
        <v>1500.0</v>
      </c>
      <c r="J15" s="360">
        <v>320.0</v>
      </c>
      <c r="K15" s="360"/>
      <c r="L15" s="360"/>
      <c r="M15" s="361"/>
      <c r="N15" s="358">
        <v>100.0</v>
      </c>
      <c r="O15" s="360"/>
      <c r="P15" s="362">
        <v>1500.0</v>
      </c>
      <c r="Q15" s="362">
        <v>800.0</v>
      </c>
      <c r="R15" s="401"/>
      <c r="S15" s="358">
        <v>27.0</v>
      </c>
      <c r="T15" s="362">
        <v>100.0</v>
      </c>
      <c r="U15" s="362">
        <v>800.0</v>
      </c>
      <c r="V15" s="362">
        <v>1500.0</v>
      </c>
      <c r="W15" s="364"/>
      <c r="X15" s="365">
        <v>50.0</v>
      </c>
      <c r="Y15" s="366">
        <v>1500.0</v>
      </c>
      <c r="Z15" s="366">
        <v>800.0</v>
      </c>
      <c r="AA15" s="367"/>
      <c r="AB15" s="404"/>
    </row>
    <row r="16">
      <c r="B16" s="370" t="s">
        <v>108</v>
      </c>
      <c r="C16" s="371" t="s">
        <v>109</v>
      </c>
      <c r="D16" s="223"/>
      <c r="E16" s="223"/>
      <c r="F16" s="223"/>
      <c r="G16" s="223"/>
      <c r="H16" s="372"/>
      <c r="I16" s="373"/>
      <c r="J16" s="373"/>
      <c r="K16" s="373"/>
      <c r="L16" s="373"/>
      <c r="M16" s="373"/>
      <c r="N16" s="373"/>
      <c r="O16" s="373"/>
      <c r="P16" s="373"/>
      <c r="Q16" s="373"/>
      <c r="R16" s="408"/>
      <c r="S16" s="410" t="s">
        <v>125</v>
      </c>
      <c r="T16" s="373"/>
      <c r="U16" s="373"/>
      <c r="V16" s="373"/>
      <c r="W16" s="373"/>
      <c r="X16" s="413" t="s">
        <v>126</v>
      </c>
      <c r="Y16" s="373"/>
      <c r="Z16" s="373"/>
      <c r="AA16" s="373"/>
      <c r="AB16" s="373"/>
    </row>
    <row r="17">
      <c r="B17" s="376" t="s">
        <v>111</v>
      </c>
      <c r="C17" s="317" t="s">
        <v>112</v>
      </c>
      <c r="D17" s="282"/>
      <c r="E17" s="282"/>
      <c r="F17" s="282"/>
      <c r="G17" s="282"/>
      <c r="H17" s="377"/>
      <c r="I17" s="378"/>
      <c r="J17" s="296"/>
      <c r="K17" s="296"/>
      <c r="L17" s="296"/>
      <c r="M17" s="296"/>
      <c r="N17" s="296"/>
      <c r="O17" s="296"/>
      <c r="P17" s="296"/>
      <c r="Q17" s="296"/>
      <c r="R17" s="418" t="s">
        <v>127</v>
      </c>
      <c r="S17" s="296"/>
      <c r="T17" s="296"/>
      <c r="U17" s="296"/>
      <c r="V17" s="296"/>
      <c r="W17" s="296"/>
      <c r="X17" s="296"/>
      <c r="Y17" s="296"/>
      <c r="Z17" s="296"/>
      <c r="AA17" s="296"/>
      <c r="AB17" s="418" t="s">
        <v>128</v>
      </c>
    </row>
    <row r="18">
      <c r="B18" s="379" t="s">
        <v>114</v>
      </c>
      <c r="C18" s="380" t="s">
        <v>115</v>
      </c>
      <c r="D18" s="139"/>
      <c r="E18" s="139"/>
      <c r="F18" s="139"/>
      <c r="G18" s="139"/>
      <c r="H18" s="381"/>
      <c r="I18" s="378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  <c r="Y18" s="296"/>
      <c r="Z18" s="296"/>
      <c r="AA18" s="296"/>
      <c r="AB18" s="296"/>
    </row>
    <row r="19">
      <c r="B19" s="382" t="s">
        <v>117</v>
      </c>
      <c r="C19" s="384"/>
      <c r="D19" s="384"/>
      <c r="E19" s="384"/>
      <c r="F19" s="384"/>
      <c r="G19" s="384"/>
      <c r="H19" s="386"/>
    </row>
    <row r="20">
      <c r="B20" s="388" t="s">
        <v>118</v>
      </c>
      <c r="C20" s="317">
        <v>10.0</v>
      </c>
      <c r="D20" s="282"/>
      <c r="E20" s="282"/>
      <c r="F20" s="282"/>
      <c r="G20" s="282"/>
      <c r="H20" s="283"/>
    </row>
    <row r="21">
      <c r="B21" s="391" t="s">
        <v>120</v>
      </c>
      <c r="C21" s="392">
        <v>16.0</v>
      </c>
      <c r="D21" s="356"/>
      <c r="E21" s="356"/>
      <c r="F21" s="356"/>
      <c r="G21" s="356"/>
      <c r="H21" s="357"/>
    </row>
    <row r="23">
      <c r="I23" s="393" t="s">
        <v>121</v>
      </c>
      <c r="J23" s="246"/>
      <c r="K23" s="246"/>
      <c r="L23" s="246"/>
      <c r="M23" s="247"/>
      <c r="N23" s="393" t="s">
        <v>122</v>
      </c>
      <c r="O23" s="246"/>
      <c r="P23" s="246"/>
      <c r="Q23" s="246"/>
      <c r="R23" s="247"/>
      <c r="S23" s="393" t="s">
        <v>123</v>
      </c>
      <c r="T23" s="246"/>
      <c r="U23" s="246"/>
      <c r="V23" s="246"/>
      <c r="W23" s="247"/>
      <c r="X23" s="396" t="s">
        <v>124</v>
      </c>
      <c r="Y23" s="246"/>
      <c r="Z23" s="246"/>
      <c r="AA23" s="246"/>
      <c r="AB23" s="247"/>
    </row>
    <row r="24">
      <c r="I24" s="260">
        <v>1.0</v>
      </c>
      <c r="J24" s="261">
        <v>2.0</v>
      </c>
      <c r="K24" s="261">
        <v>3.0</v>
      </c>
      <c r="L24" s="261">
        <v>4.0</v>
      </c>
      <c r="M24" s="262">
        <v>5.0</v>
      </c>
      <c r="N24" s="260">
        <v>1.0</v>
      </c>
      <c r="O24" s="261">
        <v>2.0</v>
      </c>
      <c r="P24" s="261">
        <v>3.0</v>
      </c>
      <c r="Q24" s="261">
        <v>4.0</v>
      </c>
      <c r="R24" s="262">
        <v>5.0</v>
      </c>
      <c r="S24" s="260">
        <v>1.0</v>
      </c>
      <c r="T24" s="261">
        <v>2.0</v>
      </c>
      <c r="U24" s="261">
        <v>3.0</v>
      </c>
      <c r="V24" s="261">
        <v>4.0</v>
      </c>
      <c r="W24" s="262">
        <v>5.0</v>
      </c>
      <c r="X24" s="265">
        <v>1.0</v>
      </c>
      <c r="Y24" s="266">
        <v>2.0</v>
      </c>
      <c r="Z24" s="266">
        <v>3.0</v>
      </c>
      <c r="AA24" s="266">
        <v>4.0</v>
      </c>
      <c r="AB24" s="267">
        <v>5.0</v>
      </c>
    </row>
    <row r="25">
      <c r="H25" s="398" t="s">
        <v>84</v>
      </c>
      <c r="I25" s="399">
        <v>328.0</v>
      </c>
      <c r="J25" s="400">
        <v>69.0</v>
      </c>
      <c r="K25" s="402"/>
      <c r="L25" s="402"/>
      <c r="M25" s="403"/>
      <c r="N25" s="399">
        <v>329.0</v>
      </c>
      <c r="O25" s="400">
        <v>86.0</v>
      </c>
      <c r="P25" s="400"/>
      <c r="Q25" s="400"/>
      <c r="R25" s="405">
        <v>88.0</v>
      </c>
      <c r="S25" s="399">
        <v>340.0</v>
      </c>
      <c r="T25" s="400">
        <v>87.0</v>
      </c>
      <c r="U25" s="400"/>
      <c r="V25" s="400"/>
      <c r="W25" s="406"/>
      <c r="X25" s="407">
        <v>340.0</v>
      </c>
      <c r="Y25" s="411">
        <v>87.0</v>
      </c>
      <c r="Z25" s="411"/>
      <c r="AA25" s="412">
        <f t="shared" ref="AA25:AA31" si="1">0*0.014</f>
        <v>0</v>
      </c>
      <c r="AB25" s="444">
        <f>11000*0.014</f>
        <v>154</v>
      </c>
    </row>
    <row r="26">
      <c r="H26" s="415" t="s">
        <v>86</v>
      </c>
      <c r="I26" s="416">
        <v>92.0</v>
      </c>
      <c r="J26" s="417">
        <v>74.0</v>
      </c>
      <c r="K26" s="417">
        <v>62.0</v>
      </c>
      <c r="L26" s="417">
        <v>97.0</v>
      </c>
      <c r="M26" s="419">
        <v>107.0</v>
      </c>
      <c r="N26" s="416">
        <v>66.0</v>
      </c>
      <c r="O26" s="417">
        <f>55+10+10+5+15.8</f>
        <v>95.8</v>
      </c>
      <c r="P26" s="417">
        <f>3+62</f>
        <v>65</v>
      </c>
      <c r="Q26" s="417">
        <v>48.0</v>
      </c>
      <c r="R26" s="419"/>
      <c r="S26" s="416">
        <f>3+8.4</f>
        <v>11.4</v>
      </c>
      <c r="T26" s="417">
        <f>90+27</f>
        <v>117</v>
      </c>
      <c r="U26" s="417"/>
      <c r="V26" s="417">
        <f>86+10+20</f>
        <v>116</v>
      </c>
      <c r="W26" s="420">
        <f>92+10</f>
        <v>102</v>
      </c>
      <c r="X26" s="421">
        <f>37+18+36</f>
        <v>91</v>
      </c>
      <c r="Y26" s="422">
        <f>62+25+10+18.38+35</f>
        <v>150.38</v>
      </c>
      <c r="Z26" s="422">
        <f>46</f>
        <v>46</v>
      </c>
      <c r="AA26" s="423">
        <f t="shared" si="1"/>
        <v>0</v>
      </c>
      <c r="AB26" s="424">
        <f>(2685+750+3570)*0.014</f>
        <v>98.07</v>
      </c>
    </row>
    <row r="27">
      <c r="H27" s="425" t="s">
        <v>88</v>
      </c>
      <c r="I27" s="426"/>
      <c r="J27" s="427"/>
      <c r="K27" s="428">
        <v>10.0</v>
      </c>
      <c r="L27" s="428">
        <v>5.0</v>
      </c>
      <c r="M27" s="429">
        <v>16.5</v>
      </c>
      <c r="N27" s="430"/>
      <c r="O27" s="427"/>
      <c r="P27" s="427"/>
      <c r="Q27" s="427"/>
      <c r="R27" s="431"/>
      <c r="S27" s="430"/>
      <c r="T27" s="428">
        <v>8.0</v>
      </c>
      <c r="U27" s="428"/>
      <c r="V27" s="427"/>
      <c r="W27" s="432"/>
      <c r="X27" s="441"/>
      <c r="Y27" s="434"/>
      <c r="Z27" s="435">
        <v>15.0</v>
      </c>
      <c r="AA27" s="436">
        <f t="shared" si="1"/>
        <v>0</v>
      </c>
      <c r="AB27" s="437">
        <f>(2250+258)*0.014</f>
        <v>35.112</v>
      </c>
    </row>
    <row r="28">
      <c r="H28" s="449" t="s">
        <v>104</v>
      </c>
      <c r="I28" s="430"/>
      <c r="J28" s="427"/>
      <c r="K28" s="427"/>
      <c r="L28" s="427"/>
      <c r="M28" s="431"/>
      <c r="N28" s="426"/>
      <c r="O28" s="428">
        <v>31.0</v>
      </c>
      <c r="P28" s="439">
        <v>34.0</v>
      </c>
      <c r="Q28" s="428">
        <v>42.0</v>
      </c>
      <c r="R28" s="429"/>
      <c r="S28" s="426"/>
      <c r="T28" s="428">
        <v>34.0</v>
      </c>
      <c r="U28" s="428"/>
      <c r="V28" s="428">
        <v>22.0</v>
      </c>
      <c r="W28" s="440"/>
      <c r="X28" s="441"/>
      <c r="Y28" s="435">
        <f>6+29</f>
        <v>35</v>
      </c>
      <c r="Z28" s="435">
        <v>35.0</v>
      </c>
      <c r="AA28" s="436">
        <f t="shared" si="1"/>
        <v>0</v>
      </c>
      <c r="AB28" s="437">
        <f>0*0.014</f>
        <v>0</v>
      </c>
    </row>
    <row r="29">
      <c r="H29" s="454" t="s">
        <v>105</v>
      </c>
      <c r="I29" s="430"/>
      <c r="J29" s="427"/>
      <c r="K29" s="427"/>
      <c r="L29" s="428">
        <v>45.0</v>
      </c>
      <c r="M29" s="431"/>
      <c r="N29" s="426"/>
      <c r="O29" s="428"/>
      <c r="P29" s="427"/>
      <c r="Q29" s="427"/>
      <c r="R29" s="431"/>
      <c r="S29" s="426"/>
      <c r="T29" s="428"/>
      <c r="U29" s="427"/>
      <c r="V29" s="461">
        <f>2600+160</f>
        <v>2760</v>
      </c>
      <c r="W29" s="432"/>
      <c r="X29" s="441"/>
      <c r="Y29" s="434"/>
      <c r="Z29" s="435"/>
      <c r="AA29" s="436">
        <f t="shared" si="1"/>
        <v>0</v>
      </c>
      <c r="AB29" s="437">
        <f t="shared" ref="AB29:AB31" si="2">0/0.014</f>
        <v>0</v>
      </c>
    </row>
    <row r="30">
      <c r="H30" s="445" t="s">
        <v>95</v>
      </c>
      <c r="I30" s="430"/>
      <c r="J30" s="427"/>
      <c r="K30" s="427"/>
      <c r="L30" s="427"/>
      <c r="M30" s="429">
        <f>34+40</f>
        <v>74</v>
      </c>
      <c r="N30" s="426"/>
      <c r="O30" s="428">
        <v>25.0</v>
      </c>
      <c r="P30" s="427"/>
      <c r="Q30" s="428">
        <f>24+52</f>
        <v>76</v>
      </c>
      <c r="R30" s="429"/>
      <c r="S30" s="426"/>
      <c r="T30" s="427"/>
      <c r="U30" s="428"/>
      <c r="V30" s="427"/>
      <c r="W30" s="432"/>
      <c r="X30" s="433">
        <v>25.5</v>
      </c>
      <c r="Y30" s="434"/>
      <c r="Z30" s="434">
        <f>70</f>
        <v>70</v>
      </c>
      <c r="AA30" s="436">
        <f t="shared" si="1"/>
        <v>0</v>
      </c>
      <c r="AB30" s="437">
        <f t="shared" si="2"/>
        <v>0</v>
      </c>
    </row>
    <row r="31">
      <c r="H31" s="446" t="s">
        <v>97</v>
      </c>
      <c r="I31" s="426"/>
      <c r="J31" s="427"/>
      <c r="K31" s="428"/>
      <c r="L31" s="428"/>
      <c r="M31" s="429">
        <v>40.0</v>
      </c>
      <c r="N31" s="441"/>
      <c r="O31" s="434"/>
      <c r="P31" s="434"/>
      <c r="Q31" s="434"/>
      <c r="R31" s="447"/>
      <c r="S31" s="426"/>
      <c r="T31" s="427"/>
      <c r="U31" s="428"/>
      <c r="V31" s="428"/>
      <c r="W31" s="432"/>
      <c r="X31" s="441"/>
      <c r="Y31" s="434"/>
      <c r="Z31" s="434"/>
      <c r="AA31" s="436">
        <f t="shared" si="1"/>
        <v>0</v>
      </c>
      <c r="AB31" s="437">
        <f t="shared" si="2"/>
        <v>0</v>
      </c>
    </row>
    <row r="32">
      <c r="H32" s="448" t="s">
        <v>113</v>
      </c>
      <c r="I32" s="326"/>
      <c r="J32" s="330">
        <v>30.0</v>
      </c>
      <c r="K32" s="322"/>
      <c r="L32" s="322"/>
      <c r="M32" s="323"/>
      <c r="N32" s="321">
        <v>8.0</v>
      </c>
      <c r="O32" s="322"/>
      <c r="P32" s="322"/>
      <c r="Q32" s="322"/>
      <c r="R32" s="323"/>
      <c r="S32" s="326"/>
      <c r="T32" s="322"/>
      <c r="U32" s="322"/>
      <c r="V32" s="322"/>
      <c r="W32" s="450">
        <v>80.0</v>
      </c>
      <c r="X32" s="451"/>
      <c r="Y32" s="452">
        <v>22.0</v>
      </c>
      <c r="Z32" s="453">
        <f>30+25</f>
        <v>55</v>
      </c>
      <c r="AA32" s="451">
        <v>0.0</v>
      </c>
      <c r="AB32" s="451">
        <v>0.0</v>
      </c>
    </row>
    <row r="33">
      <c r="H33" s="456" t="s">
        <v>133</v>
      </c>
      <c r="I33" s="479"/>
      <c r="J33" s="481">
        <v>50.0</v>
      </c>
      <c r="K33" s="483"/>
      <c r="L33" s="483"/>
      <c r="M33" s="485"/>
      <c r="N33" s="487"/>
      <c r="O33" s="481">
        <f>50+30</f>
        <v>80</v>
      </c>
      <c r="P33" s="481">
        <v>305.0</v>
      </c>
      <c r="Q33" s="481"/>
      <c r="R33" s="490"/>
      <c r="S33" s="487"/>
      <c r="T33" s="481"/>
      <c r="U33" s="481">
        <v>48.0</v>
      </c>
      <c r="V33" s="481">
        <f>110+86+71</f>
        <v>267</v>
      </c>
      <c r="W33" s="492"/>
      <c r="X33" s="493"/>
      <c r="Y33" s="495"/>
      <c r="Z33" s="495"/>
      <c r="AA33" s="495">
        <v>0.0</v>
      </c>
      <c r="AB33" s="495">
        <v>0.0</v>
      </c>
    </row>
    <row r="34">
      <c r="H34" s="466" t="s">
        <v>137</v>
      </c>
      <c r="I34" s="467"/>
      <c r="J34" s="468"/>
      <c r="K34" s="468"/>
      <c r="L34" s="500"/>
      <c r="M34" s="469"/>
      <c r="N34" s="470"/>
      <c r="O34" s="468"/>
      <c r="P34" s="468"/>
      <c r="Q34" s="468"/>
      <c r="R34" s="471"/>
      <c r="S34" s="470"/>
      <c r="T34" s="468"/>
      <c r="U34" s="468"/>
      <c r="V34" s="468"/>
      <c r="W34" s="472"/>
      <c r="X34" s="473"/>
      <c r="Y34" s="474">
        <f>220+200</f>
        <v>420</v>
      </c>
      <c r="Z34" s="474"/>
      <c r="AA34" s="436">
        <f>0*0.014</f>
        <v>0</v>
      </c>
      <c r="AB34" s="442">
        <v>30.0</v>
      </c>
    </row>
    <row r="35">
      <c r="H35" s="476" t="s">
        <v>107</v>
      </c>
      <c r="I35" s="467"/>
      <c r="J35" s="468">
        <v>1000.0</v>
      </c>
      <c r="K35" s="468">
        <v>1500.0</v>
      </c>
      <c r="L35" s="500"/>
      <c r="M35" s="469"/>
      <c r="N35" s="470">
        <v>1500.0</v>
      </c>
      <c r="O35" s="468">
        <v>1000.0</v>
      </c>
      <c r="P35" s="468"/>
      <c r="Q35" s="468"/>
      <c r="R35" s="471"/>
      <c r="S35" s="470">
        <v>1500.0</v>
      </c>
      <c r="T35" s="468">
        <v>800.0</v>
      </c>
      <c r="U35" s="468"/>
      <c r="V35" s="468"/>
      <c r="W35" s="472"/>
      <c r="X35" s="505"/>
      <c r="Y35" s="480">
        <v>300.0</v>
      </c>
      <c r="Z35" s="480">
        <v>1500.0</v>
      </c>
      <c r="AA35" s="482">
        <v>800.0</v>
      </c>
      <c r="AB35" s="484">
        <v>950.0</v>
      </c>
    </row>
    <row r="36">
      <c r="H36" s="486" t="s">
        <v>108</v>
      </c>
      <c r="I36" s="488"/>
      <c r="J36" s="506" t="s">
        <v>140</v>
      </c>
      <c r="K36" s="489"/>
      <c r="L36" s="489"/>
      <c r="M36" s="489"/>
      <c r="N36" s="489"/>
      <c r="O36" s="489"/>
      <c r="P36" s="489"/>
      <c r="Q36" s="489"/>
      <c r="R36" s="491"/>
      <c r="S36" s="491"/>
      <c r="T36" s="489"/>
      <c r="U36" s="489"/>
      <c r="V36" s="510" t="s">
        <v>143</v>
      </c>
      <c r="W36" s="489"/>
      <c r="X36" s="496"/>
      <c r="Y36" s="497"/>
      <c r="Z36" s="497"/>
      <c r="AA36" s="497"/>
      <c r="AB36" s="511" t="s">
        <v>144</v>
      </c>
    </row>
    <row r="37">
      <c r="H37" s="499" t="s">
        <v>111</v>
      </c>
      <c r="I37" s="430"/>
      <c r="J37" s="427"/>
      <c r="K37" s="427"/>
      <c r="L37" s="427"/>
      <c r="M37" s="427"/>
      <c r="N37" s="427"/>
      <c r="O37" s="427"/>
      <c r="P37" s="427"/>
      <c r="Q37" s="427"/>
      <c r="R37" s="428"/>
      <c r="S37" s="427"/>
      <c r="T37" s="427"/>
      <c r="U37" s="427"/>
      <c r="V37" s="427"/>
      <c r="W37" s="427"/>
      <c r="X37" s="427"/>
      <c r="Y37" s="427"/>
      <c r="Z37" s="427"/>
      <c r="AA37" s="427"/>
      <c r="AB37" s="429" t="s">
        <v>150</v>
      </c>
    </row>
    <row r="38">
      <c r="H38" s="502" t="s">
        <v>114</v>
      </c>
      <c r="I38" s="503"/>
      <c r="J38" s="504"/>
      <c r="K38" s="504"/>
      <c r="L38" s="504"/>
      <c r="M38" s="504"/>
      <c r="N38" s="504"/>
      <c r="O38" s="504"/>
      <c r="P38" s="504"/>
      <c r="Q38" s="504"/>
      <c r="R38" s="504"/>
      <c r="S38" s="504"/>
      <c r="T38" s="504"/>
      <c r="U38" s="504"/>
      <c r="V38" s="504"/>
      <c r="W38" s="504"/>
      <c r="X38" s="504"/>
      <c r="Y38" s="504"/>
      <c r="Z38" s="504"/>
      <c r="AA38" s="504"/>
      <c r="AB38" s="521"/>
    </row>
    <row r="42">
      <c r="H42" s="508">
        <v>72.0</v>
      </c>
      <c r="I42" s="509" t="s">
        <v>142</v>
      </c>
      <c r="J42" s="249"/>
      <c r="K42" s="249"/>
      <c r="L42" s="249"/>
      <c r="M42" s="249"/>
      <c r="N42" s="249"/>
      <c r="O42" s="249"/>
      <c r="P42" s="249"/>
      <c r="Q42" s="249"/>
      <c r="R42" s="249"/>
      <c r="S42" s="249"/>
      <c r="T42" s="249"/>
      <c r="U42" s="249"/>
      <c r="V42" s="249"/>
      <c r="W42" s="249"/>
      <c r="X42" s="249"/>
      <c r="Y42" s="249"/>
      <c r="Z42" s="249"/>
      <c r="AA42" s="249"/>
      <c r="AB42" s="249"/>
    </row>
    <row r="43">
      <c r="H43" s="512" t="s">
        <v>145</v>
      </c>
      <c r="I43" s="248" t="s">
        <v>146</v>
      </c>
      <c r="J43" s="249"/>
      <c r="K43" s="249"/>
      <c r="L43" s="249"/>
      <c r="M43" s="250"/>
      <c r="N43" s="248" t="s">
        <v>147</v>
      </c>
      <c r="O43" s="249"/>
      <c r="P43" s="249"/>
      <c r="Q43" s="249"/>
      <c r="R43" s="250"/>
      <c r="S43" s="248" t="s">
        <v>148</v>
      </c>
      <c r="T43" s="249"/>
      <c r="U43" s="249"/>
      <c r="V43" s="249"/>
      <c r="W43" s="250"/>
      <c r="X43" s="513" t="s">
        <v>149</v>
      </c>
      <c r="Y43" s="249"/>
      <c r="Z43" s="249"/>
      <c r="AA43" s="249"/>
      <c r="AB43" s="250"/>
    </row>
    <row r="44">
      <c r="H44" s="514"/>
      <c r="I44" s="515">
        <v>1.0</v>
      </c>
      <c r="J44" s="515">
        <v>2.0</v>
      </c>
      <c r="K44" s="515">
        <v>3.0</v>
      </c>
      <c r="L44" s="515">
        <v>4.0</v>
      </c>
      <c r="M44" s="516">
        <v>5.0</v>
      </c>
      <c r="N44" s="515">
        <v>1.0</v>
      </c>
      <c r="O44" s="515">
        <v>2.0</v>
      </c>
      <c r="P44" s="515">
        <v>3.0</v>
      </c>
      <c r="Q44" s="515">
        <v>4.0</v>
      </c>
      <c r="R44" s="516">
        <v>5.0</v>
      </c>
      <c r="S44" s="515">
        <v>1.0</v>
      </c>
      <c r="T44" s="515">
        <v>2.0</v>
      </c>
      <c r="U44" s="515">
        <v>3.0</v>
      </c>
      <c r="V44" s="515">
        <v>4.0</v>
      </c>
      <c r="W44" s="516">
        <v>5.0</v>
      </c>
      <c r="X44" s="266">
        <v>1.0</v>
      </c>
      <c r="Y44" s="266">
        <v>2.0</v>
      </c>
      <c r="Z44" s="266">
        <v>3.0</v>
      </c>
      <c r="AA44" s="266">
        <v>4.0</v>
      </c>
      <c r="AB44" s="267">
        <v>5.0</v>
      </c>
    </row>
    <row r="45">
      <c r="H45" s="530" t="s">
        <v>84</v>
      </c>
      <c r="I45" s="525">
        <v>55000.0</v>
      </c>
      <c r="J45" s="526"/>
      <c r="K45" s="527"/>
      <c r="L45" s="527"/>
      <c r="M45" s="528"/>
      <c r="N45" s="525">
        <f>45000+10000</f>
        <v>55000</v>
      </c>
      <c r="O45" s="525"/>
      <c r="P45" s="527"/>
      <c r="Q45" s="527"/>
      <c r="R45" s="532"/>
      <c r="S45" s="525">
        <v>55000.0</v>
      </c>
      <c r="T45" s="526"/>
      <c r="U45" s="527"/>
      <c r="V45" s="527"/>
      <c r="W45" s="533"/>
      <c r="X45" s="534">
        <v>55000.0</v>
      </c>
      <c r="Y45" s="535"/>
      <c r="Z45" s="536"/>
      <c r="AA45" s="536"/>
      <c r="AB45" s="537"/>
    </row>
    <row r="46" ht="15.75" customHeight="1">
      <c r="H46" s="538" t="s">
        <v>86</v>
      </c>
      <c r="I46" s="539">
        <f>3890-1190</f>
        <v>2700</v>
      </c>
      <c r="J46" s="539">
        <f>3860+219+800+4500+1485</f>
        <v>10864</v>
      </c>
      <c r="K46" s="539">
        <f>710+280+3069+1005</f>
        <v>5064</v>
      </c>
      <c r="L46" s="539">
        <f>1231+719+2274</f>
        <v>4224</v>
      </c>
      <c r="M46" s="541">
        <f>449+4463</f>
        <v>4912</v>
      </c>
      <c r="N46" s="540">
        <f>4032+2805+714+1091</f>
        <v>8642</v>
      </c>
      <c r="O46" s="539">
        <f>5500</f>
        <v>5500</v>
      </c>
      <c r="P46" s="539">
        <f>654+1559+973+911</f>
        <v>4097</v>
      </c>
      <c r="Q46" s="539">
        <f>2680+350</f>
        <v>3030</v>
      </c>
      <c r="R46" s="542">
        <f>2350+600+479+1627+4261</f>
        <v>9317</v>
      </c>
      <c r="S46" s="539">
        <f>1059+2003+2148</f>
        <v>5210</v>
      </c>
      <c r="T46" s="539">
        <f>2979+2120+1000+6799+589-2496-1900</f>
        <v>9091</v>
      </c>
      <c r="U46" s="544">
        <f>1831-600+1620+7344</f>
        <v>10195</v>
      </c>
      <c r="V46" s="539">
        <f>1200+280+280+2253+300+280</f>
        <v>4593</v>
      </c>
      <c r="W46" s="545">
        <v>280.0</v>
      </c>
      <c r="X46" s="546">
        <f>280+600+3700+300+365</f>
        <v>5245</v>
      </c>
      <c r="Y46" s="547"/>
      <c r="Z46" s="547">
        <f>13000+600</f>
        <v>13600</v>
      </c>
      <c r="AA46" s="547">
        <f>153*73</f>
        <v>11169</v>
      </c>
      <c r="AB46" s="550"/>
    </row>
    <row r="47" ht="15.75" customHeight="1">
      <c r="H47" s="551" t="s">
        <v>88</v>
      </c>
      <c r="I47" s="552">
        <v>1200.0</v>
      </c>
      <c r="J47" s="553"/>
      <c r="K47" s="554">
        <f>495</f>
        <v>495</v>
      </c>
      <c r="L47" s="554"/>
      <c r="M47" s="555"/>
      <c r="N47" s="553"/>
      <c r="O47" s="553"/>
      <c r="P47" s="553"/>
      <c r="Q47" s="553"/>
      <c r="R47" s="557"/>
      <c r="S47" s="553"/>
      <c r="T47" s="554"/>
      <c r="U47" s="553"/>
      <c r="V47" s="552">
        <v>315.0</v>
      </c>
      <c r="W47" s="560"/>
      <c r="X47" s="562"/>
      <c r="Y47" s="436"/>
      <c r="Z47" s="563"/>
      <c r="AA47" s="564"/>
      <c r="AB47" s="565"/>
    </row>
    <row r="48" ht="15.75" customHeight="1">
      <c r="H48" s="567" t="s">
        <v>159</v>
      </c>
      <c r="I48" s="553"/>
      <c r="J48" s="553">
        <f>4184</f>
        <v>4184</v>
      </c>
      <c r="K48" s="553">
        <f>1380</f>
        <v>1380</v>
      </c>
      <c r="L48" s="553">
        <f>500+500</f>
        <v>1000</v>
      </c>
      <c r="M48" s="557"/>
      <c r="N48" s="553"/>
      <c r="O48" s="554"/>
      <c r="P48" s="574"/>
      <c r="Q48" s="554"/>
      <c r="R48" s="557"/>
      <c r="S48" s="553"/>
      <c r="T48" s="554"/>
      <c r="U48" s="553">
        <f>740+870</f>
        <v>1610</v>
      </c>
      <c r="V48" s="575">
        <v>4200.0</v>
      </c>
      <c r="W48" s="560"/>
      <c r="X48" s="578">
        <f>1450+3000</f>
        <v>4450</v>
      </c>
      <c r="Y48" s="563"/>
      <c r="Z48" s="563"/>
      <c r="AA48" s="564"/>
      <c r="AB48" s="565"/>
    </row>
    <row r="49" ht="15.75" customHeight="1">
      <c r="H49" s="581" t="s">
        <v>105</v>
      </c>
      <c r="I49" s="553"/>
      <c r="J49" s="553">
        <f>650+650</f>
        <v>1300</v>
      </c>
      <c r="K49" s="553"/>
      <c r="L49" s="554"/>
      <c r="M49" s="557"/>
      <c r="N49" s="553"/>
      <c r="O49" s="553"/>
      <c r="P49" s="553"/>
      <c r="Q49" s="553"/>
      <c r="R49" s="557"/>
      <c r="S49" s="553"/>
      <c r="T49" s="553"/>
      <c r="U49" s="553"/>
      <c r="V49" s="575">
        <v>190000.0</v>
      </c>
      <c r="W49" s="560"/>
      <c r="X49" s="562"/>
      <c r="Y49" s="585">
        <v>15000.0</v>
      </c>
      <c r="Z49" s="436"/>
      <c r="AA49" s="564"/>
      <c r="AB49" s="565"/>
    </row>
    <row r="50" ht="15.75" customHeight="1">
      <c r="H50" s="586" t="s">
        <v>95</v>
      </c>
      <c r="I50" s="552">
        <v>7450.0</v>
      </c>
      <c r="J50" s="553"/>
      <c r="K50" s="553"/>
      <c r="L50" s="553"/>
      <c r="M50" s="555"/>
      <c r="N50" s="553"/>
      <c r="O50" s="554">
        <f>6995</f>
        <v>6995</v>
      </c>
      <c r="P50" s="553"/>
      <c r="Q50" s="554"/>
      <c r="R50" s="557"/>
      <c r="S50" s="553"/>
      <c r="T50" s="552">
        <f>2990</f>
        <v>2990</v>
      </c>
      <c r="U50" s="553"/>
      <c r="V50" s="553"/>
      <c r="W50" s="560"/>
      <c r="X50" s="589"/>
      <c r="Y50" s="436"/>
      <c r="Z50" s="563"/>
      <c r="AA50" s="564"/>
      <c r="AB50" s="565"/>
    </row>
    <row r="51" ht="15.75" customHeight="1">
      <c r="H51" s="590" t="s">
        <v>97</v>
      </c>
      <c r="I51" s="553"/>
      <c r="J51" s="552">
        <v>4500.0</v>
      </c>
      <c r="K51" s="553"/>
      <c r="L51" s="553"/>
      <c r="M51" s="555"/>
      <c r="N51" s="553"/>
      <c r="O51" s="553"/>
      <c r="P51" s="553"/>
      <c r="Q51" s="553"/>
      <c r="R51" s="557"/>
      <c r="S51" s="553"/>
      <c r="T51" s="553"/>
      <c r="U51" s="553"/>
      <c r="V51" s="553"/>
      <c r="W51" s="560"/>
      <c r="X51" s="562"/>
      <c r="Y51" s="591"/>
      <c r="Z51" s="436"/>
      <c r="AA51" s="564"/>
      <c r="AB51" s="565"/>
    </row>
    <row r="52" ht="15.75" customHeight="1">
      <c r="H52" s="592" t="s">
        <v>171</v>
      </c>
      <c r="I52" s="593"/>
      <c r="J52" s="594">
        <f>2100</f>
        <v>2100</v>
      </c>
      <c r="K52" s="593"/>
      <c r="L52" s="593"/>
      <c r="M52" s="595"/>
      <c r="N52" s="594">
        <f>3450</f>
        <v>3450</v>
      </c>
      <c r="O52" s="593"/>
      <c r="P52" s="593"/>
      <c r="Q52" s="593"/>
      <c r="R52" s="595">
        <f>4600+11000</f>
        <v>15600</v>
      </c>
      <c r="S52" s="593">
        <f>9000</f>
        <v>9000</v>
      </c>
      <c r="T52" s="593"/>
      <c r="U52" s="593"/>
      <c r="V52" s="593"/>
      <c r="W52" s="596"/>
      <c r="X52" s="597">
        <v>3450.0</v>
      </c>
      <c r="Y52" s="599">
        <f>1244*73</f>
        <v>90812</v>
      </c>
      <c r="Z52" s="600"/>
      <c r="AA52" s="602"/>
      <c r="AB52" s="603"/>
    </row>
    <row r="53" ht="15.75" customHeight="1">
      <c r="H53" s="604" t="s">
        <v>131</v>
      </c>
      <c r="I53" s="605">
        <v>10000.0</v>
      </c>
      <c r="J53" s="606"/>
      <c r="K53" s="607">
        <f>1990</f>
        <v>1990</v>
      </c>
      <c r="L53" s="605">
        <v>1000.0</v>
      </c>
      <c r="M53" s="608"/>
      <c r="N53" s="609"/>
      <c r="O53" s="606"/>
      <c r="P53" s="606"/>
      <c r="Q53" s="605">
        <f>47*70</f>
        <v>3290</v>
      </c>
      <c r="R53" s="608"/>
      <c r="S53" s="609"/>
      <c r="T53" s="609">
        <f>2925-975-975</f>
        <v>975</v>
      </c>
      <c r="U53" s="606"/>
      <c r="V53" s="606"/>
      <c r="W53" s="612">
        <f>(531.82*73.43) + (485.24*73.43)</f>
        <v>74682.7158</v>
      </c>
      <c r="X53" s="613"/>
      <c r="Y53" s="614"/>
      <c r="Z53" s="615"/>
      <c r="AA53" s="615"/>
      <c r="AB53" s="617"/>
    </row>
    <row r="54" ht="15.75" customHeight="1">
      <c r="H54" s="618" t="s">
        <v>178</v>
      </c>
      <c r="I54" s="552">
        <v>3000.0</v>
      </c>
      <c r="J54" s="553"/>
      <c r="K54" s="553"/>
      <c r="L54" s="553"/>
      <c r="M54" s="557"/>
      <c r="N54" s="552">
        <v>3600.0</v>
      </c>
      <c r="O54" s="553"/>
      <c r="P54" s="553"/>
      <c r="Q54" s="584">
        <v>1000.0</v>
      </c>
      <c r="R54" s="584">
        <v>1000.0</v>
      </c>
      <c r="S54" s="553"/>
      <c r="T54" s="553">
        <f>3000+1000</f>
        <v>4000</v>
      </c>
      <c r="U54" s="553">
        <f>1000</f>
        <v>1000</v>
      </c>
      <c r="V54" s="552">
        <v>1000.0</v>
      </c>
      <c r="W54" s="622">
        <v>1000.0</v>
      </c>
      <c r="X54" s="553">
        <f>1000</f>
        <v>1000</v>
      </c>
      <c r="Y54" s="552">
        <v>1000.0</v>
      </c>
      <c r="Z54" s="622">
        <v>1000.0</v>
      </c>
      <c r="AA54" s="622">
        <v>1000.0</v>
      </c>
      <c r="AB54" s="565"/>
    </row>
    <row r="55" ht="15.75" customHeight="1">
      <c r="H55" s="624" t="s">
        <v>107</v>
      </c>
      <c r="I55" s="625"/>
      <c r="J55" s="626">
        <f>3000*70</f>
        <v>210000</v>
      </c>
      <c r="K55" s="627">
        <v>57865.0</v>
      </c>
      <c r="L55" s="625"/>
      <c r="M55" s="628"/>
      <c r="N55" s="627">
        <v>222204.0</v>
      </c>
      <c r="O55" s="626"/>
      <c r="P55" s="625"/>
      <c r="Q55" s="625"/>
      <c r="R55" s="628"/>
      <c r="S55" s="627">
        <v>36365.0</v>
      </c>
      <c r="T55" s="626">
        <f>222000</f>
        <v>222000</v>
      </c>
      <c r="U55" s="625"/>
      <c r="V55" s="625"/>
      <c r="W55" s="630"/>
      <c r="X55" s="632">
        <f>518000</f>
        <v>518000</v>
      </c>
      <c r="Y55" s="633"/>
      <c r="Z55" s="634"/>
      <c r="AA55" s="635"/>
      <c r="AB55" s="636"/>
    </row>
    <row r="56" ht="15.75" customHeight="1">
      <c r="H56" s="637" t="s">
        <v>108</v>
      </c>
      <c r="I56" s="553"/>
      <c r="J56" s="303"/>
      <c r="K56" s="638" t="s">
        <v>179</v>
      </c>
      <c r="L56" s="553"/>
      <c r="M56" s="553"/>
      <c r="N56" s="553"/>
      <c r="O56" s="553"/>
      <c r="P56" s="553"/>
      <c r="Q56" s="553"/>
      <c r="R56" s="553"/>
      <c r="S56" s="553"/>
      <c r="T56" s="553"/>
      <c r="U56" s="553"/>
      <c r="V56" s="553"/>
      <c r="W56" s="553"/>
      <c r="X56" s="553"/>
      <c r="Y56" s="640" t="s">
        <v>180</v>
      </c>
      <c r="Z56" s="553"/>
      <c r="AA56" s="553"/>
      <c r="AB56" s="557"/>
    </row>
    <row r="57" ht="15.75" customHeight="1">
      <c r="H57" s="637" t="s">
        <v>111</v>
      </c>
      <c r="I57" s="553"/>
      <c r="J57" s="553"/>
      <c r="K57" s="553"/>
      <c r="L57" s="553"/>
      <c r="M57" s="553"/>
      <c r="N57" s="553"/>
      <c r="O57" s="553"/>
      <c r="P57" s="553"/>
      <c r="Q57" s="553"/>
      <c r="R57" s="553"/>
      <c r="S57" s="553"/>
      <c r="T57" s="553"/>
      <c r="U57" s="553"/>
      <c r="V57" s="553"/>
      <c r="W57" s="553"/>
      <c r="X57" s="553"/>
      <c r="Y57" s="642" t="s">
        <v>181</v>
      </c>
      <c r="Z57" s="553"/>
      <c r="AA57" s="553"/>
      <c r="AB57" s="557"/>
    </row>
    <row r="58" ht="15.75" customHeight="1">
      <c r="H58" s="643" t="s">
        <v>114</v>
      </c>
      <c r="I58" s="625"/>
      <c r="J58" s="625"/>
      <c r="K58" s="625"/>
      <c r="L58" s="625"/>
      <c r="M58" s="625"/>
      <c r="N58" s="625"/>
      <c r="O58" s="625"/>
      <c r="P58" s="625"/>
      <c r="Q58" s="625"/>
      <c r="R58" s="625"/>
      <c r="S58" s="625"/>
      <c r="T58" s="625"/>
      <c r="U58" s="625"/>
      <c r="V58" s="625"/>
      <c r="W58" s="625"/>
      <c r="X58" s="625"/>
      <c r="Y58" s="625"/>
      <c r="Z58" s="625"/>
      <c r="AA58" s="625"/>
      <c r="AB58" s="628"/>
    </row>
    <row r="59" ht="15.75" customHeight="1"/>
    <row r="60" ht="15.75" customHeight="1"/>
    <row r="61" ht="15.75" customHeight="1"/>
    <row r="62" ht="15.75" customHeight="1">
      <c r="B62" s="645">
        <v>2021.0</v>
      </c>
      <c r="C62" s="384"/>
      <c r="D62" s="384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6"/>
    </row>
    <row r="63" ht="15.75" customHeight="1">
      <c r="B63" s="646"/>
      <c r="C63" s="249"/>
      <c r="D63" s="249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50"/>
    </row>
    <row r="64" ht="15.75" customHeight="1">
      <c r="B64" s="648" t="s">
        <v>154</v>
      </c>
      <c r="C64" s="649" t="s">
        <v>76</v>
      </c>
      <c r="D64" s="650" t="s">
        <v>77</v>
      </c>
      <c r="E64" s="651" t="s">
        <v>183</v>
      </c>
      <c r="F64" s="651" t="s">
        <v>184</v>
      </c>
      <c r="G64" s="650" t="s">
        <v>185</v>
      </c>
      <c r="H64" s="650" t="s">
        <v>186</v>
      </c>
      <c r="I64" s="650" t="s">
        <v>187</v>
      </c>
      <c r="J64" s="650" t="s">
        <v>124</v>
      </c>
      <c r="K64" s="652" t="s">
        <v>188</v>
      </c>
      <c r="L64" s="652" t="s">
        <v>147</v>
      </c>
      <c r="M64" s="653" t="s">
        <v>148</v>
      </c>
      <c r="N64" s="654" t="s">
        <v>149</v>
      </c>
      <c r="O64" s="655" t="s">
        <v>189</v>
      </c>
    </row>
    <row r="65" ht="15.75" customHeight="1">
      <c r="B65" s="656" t="s">
        <v>84</v>
      </c>
      <c r="C65" s="657">
        <f t="shared" ref="C65:C73" si="3">SUM(I5:M5)</f>
        <v>503</v>
      </c>
      <c r="D65" s="657">
        <f t="shared" ref="D65:D73" si="4">SUM(N5:R5)</f>
        <v>429</v>
      </c>
      <c r="E65" s="659">
        <f t="shared" ref="E65:E73" si="5">SUM(S5:W5)</f>
        <v>515</v>
      </c>
      <c r="F65" s="661">
        <f t="shared" ref="F65:F73" si="6">SUM(X5:AB5)</f>
        <v>423</v>
      </c>
      <c r="G65" s="663">
        <f t="shared" ref="G65:G73" si="7">SUM(I25:M25)</f>
        <v>397</v>
      </c>
      <c r="H65" s="663">
        <f t="shared" ref="H65:H73" si="8">SUM(N25:R25)</f>
        <v>503</v>
      </c>
      <c r="I65" s="663">
        <f t="shared" ref="I65:I75" si="9">SUM(S25:W25)</f>
        <v>427</v>
      </c>
      <c r="J65" s="665">
        <f t="shared" ref="J65:J75" si="10">SUM(X25:AB25)</f>
        <v>581</v>
      </c>
      <c r="K65" s="665">
        <f>SUM(I45:M45)/H42</f>
        <v>763.8888889</v>
      </c>
      <c r="L65" s="665">
        <f t="shared" ref="L65:L75" si="11">SUM(N45:R45)/$H$42</f>
        <v>763.8888889</v>
      </c>
      <c r="M65" s="665">
        <f t="shared" ref="M65:M75" si="12">SUM(S45:W45)/74</f>
        <v>743.2432432</v>
      </c>
      <c r="N65" s="665">
        <f t="shared" ref="N65:N74" si="13">SUM(X45:AB45)/74</f>
        <v>743.2432432</v>
      </c>
      <c r="O65" s="668">
        <f t="shared" ref="O65:O75" si="14">SUM(C65:N65)</f>
        <v>6792.264264</v>
      </c>
      <c r="Q65" s="669"/>
    </row>
    <row r="66" ht="15.75" customHeight="1">
      <c r="B66" s="671" t="s">
        <v>86</v>
      </c>
      <c r="C66" s="657">
        <f t="shared" si="3"/>
        <v>298</v>
      </c>
      <c r="D66" s="657">
        <f t="shared" si="4"/>
        <v>285</v>
      </c>
      <c r="E66" s="659">
        <f t="shared" si="5"/>
        <v>382</v>
      </c>
      <c r="F66" s="673">
        <f t="shared" si="6"/>
        <v>378</v>
      </c>
      <c r="G66" s="663">
        <f t="shared" si="7"/>
        <v>432</v>
      </c>
      <c r="H66" s="663">
        <f t="shared" si="8"/>
        <v>274.8</v>
      </c>
      <c r="I66" s="663">
        <f t="shared" si="9"/>
        <v>346.4</v>
      </c>
      <c r="J66" s="665">
        <f t="shared" si="10"/>
        <v>385.45</v>
      </c>
      <c r="K66" s="665">
        <f t="shared" ref="K66:K75" si="15">SUM(I46:M46)/70</f>
        <v>396.6285714</v>
      </c>
      <c r="L66" s="665">
        <f t="shared" si="11"/>
        <v>424.8055556</v>
      </c>
      <c r="M66" s="665">
        <f t="shared" si="12"/>
        <v>396.8783784</v>
      </c>
      <c r="N66" s="665">
        <f t="shared" si="13"/>
        <v>405.5945946</v>
      </c>
      <c r="O66" s="668">
        <f t="shared" si="14"/>
        <v>4405.5571</v>
      </c>
    </row>
    <row r="67" ht="15.75" customHeight="1">
      <c r="B67" s="675" t="s">
        <v>88</v>
      </c>
      <c r="C67" s="657">
        <f t="shared" si="3"/>
        <v>10</v>
      </c>
      <c r="D67" s="657">
        <f t="shared" si="4"/>
        <v>0</v>
      </c>
      <c r="E67" s="659">
        <f t="shared" si="5"/>
        <v>0</v>
      </c>
      <c r="F67" s="673">
        <f t="shared" si="6"/>
        <v>23</v>
      </c>
      <c r="G67" s="663">
        <f t="shared" si="7"/>
        <v>31.5</v>
      </c>
      <c r="H67" s="663">
        <f t="shared" si="8"/>
        <v>0</v>
      </c>
      <c r="I67" s="663">
        <f t="shared" si="9"/>
        <v>8</v>
      </c>
      <c r="J67" s="665">
        <f t="shared" si="10"/>
        <v>50.112</v>
      </c>
      <c r="K67" s="665">
        <f t="shared" si="15"/>
        <v>24.21428571</v>
      </c>
      <c r="L67" s="665">
        <f t="shared" si="11"/>
        <v>0</v>
      </c>
      <c r="M67" s="665">
        <f t="shared" si="12"/>
        <v>4.256756757</v>
      </c>
      <c r="N67" s="665">
        <f t="shared" si="13"/>
        <v>0</v>
      </c>
      <c r="O67" s="668">
        <f t="shared" si="14"/>
        <v>151.0830425</v>
      </c>
    </row>
    <row r="68" ht="15.75" customHeight="1">
      <c r="B68" s="677" t="s">
        <v>159</v>
      </c>
      <c r="C68" s="657">
        <f t="shared" si="3"/>
        <v>121</v>
      </c>
      <c r="D68" s="657">
        <f t="shared" si="4"/>
        <v>162</v>
      </c>
      <c r="E68" s="659">
        <f t="shared" si="5"/>
        <v>58</v>
      </c>
      <c r="F68" s="673">
        <f t="shared" si="6"/>
        <v>0</v>
      </c>
      <c r="G68" s="663">
        <f t="shared" si="7"/>
        <v>0</v>
      </c>
      <c r="H68" s="663">
        <f t="shared" si="8"/>
        <v>107</v>
      </c>
      <c r="I68" s="663">
        <f t="shared" si="9"/>
        <v>56</v>
      </c>
      <c r="J68" s="665">
        <f t="shared" si="10"/>
        <v>70</v>
      </c>
      <c r="K68" s="665">
        <f t="shared" si="15"/>
        <v>93.77142857</v>
      </c>
      <c r="L68" s="665">
        <f t="shared" si="11"/>
        <v>0</v>
      </c>
      <c r="M68" s="665">
        <f t="shared" si="12"/>
        <v>78.51351351</v>
      </c>
      <c r="N68" s="665">
        <f t="shared" si="13"/>
        <v>60.13513514</v>
      </c>
      <c r="O68" s="668">
        <f t="shared" si="14"/>
        <v>806.4200772</v>
      </c>
    </row>
    <row r="69" ht="15.75" customHeight="1">
      <c r="B69" s="678" t="s">
        <v>105</v>
      </c>
      <c r="C69" s="657">
        <f t="shared" si="3"/>
        <v>2482</v>
      </c>
      <c r="D69" s="657">
        <f t="shared" si="4"/>
        <v>100</v>
      </c>
      <c r="E69" s="659">
        <f t="shared" si="5"/>
        <v>560</v>
      </c>
      <c r="F69" s="673">
        <f t="shared" si="6"/>
        <v>50</v>
      </c>
      <c r="G69" s="663">
        <f t="shared" si="7"/>
        <v>45</v>
      </c>
      <c r="H69" s="663">
        <f t="shared" si="8"/>
        <v>0</v>
      </c>
      <c r="I69" s="663">
        <f t="shared" si="9"/>
        <v>2760</v>
      </c>
      <c r="J69" s="665">
        <f t="shared" si="10"/>
        <v>0</v>
      </c>
      <c r="K69" s="665">
        <f t="shared" si="15"/>
        <v>18.57142857</v>
      </c>
      <c r="L69" s="665">
        <f t="shared" si="11"/>
        <v>0</v>
      </c>
      <c r="M69" s="665">
        <f t="shared" si="12"/>
        <v>2567.567568</v>
      </c>
      <c r="N69" s="665">
        <f t="shared" si="13"/>
        <v>202.7027027</v>
      </c>
      <c r="O69" s="668">
        <f t="shared" si="14"/>
        <v>8785.841699</v>
      </c>
    </row>
    <row r="70" ht="15.75" customHeight="1">
      <c r="B70" s="680" t="s">
        <v>95</v>
      </c>
      <c r="C70" s="657">
        <f t="shared" si="3"/>
        <v>60</v>
      </c>
      <c r="D70" s="657">
        <f t="shared" si="4"/>
        <v>101</v>
      </c>
      <c r="E70" s="659">
        <f t="shared" si="5"/>
        <v>0</v>
      </c>
      <c r="F70" s="673">
        <f t="shared" si="6"/>
        <v>167</v>
      </c>
      <c r="G70" s="663">
        <f t="shared" si="7"/>
        <v>74</v>
      </c>
      <c r="H70" s="663">
        <f t="shared" si="8"/>
        <v>101</v>
      </c>
      <c r="I70" s="663">
        <f t="shared" si="9"/>
        <v>0</v>
      </c>
      <c r="J70" s="665">
        <f t="shared" si="10"/>
        <v>95.5</v>
      </c>
      <c r="K70" s="665">
        <f t="shared" si="15"/>
        <v>106.4285714</v>
      </c>
      <c r="L70" s="665">
        <f t="shared" si="11"/>
        <v>97.15277778</v>
      </c>
      <c r="M70" s="665">
        <f t="shared" si="12"/>
        <v>40.40540541</v>
      </c>
      <c r="N70" s="665">
        <f t="shared" si="13"/>
        <v>0</v>
      </c>
      <c r="O70" s="668">
        <f t="shared" si="14"/>
        <v>842.4867546</v>
      </c>
    </row>
    <row r="71" ht="15.75" customHeight="1">
      <c r="B71" s="683" t="s">
        <v>97</v>
      </c>
      <c r="C71" s="657">
        <f t="shared" si="3"/>
        <v>0</v>
      </c>
      <c r="D71" s="657">
        <f t="shared" si="4"/>
        <v>86</v>
      </c>
      <c r="E71" s="659">
        <f t="shared" si="5"/>
        <v>0</v>
      </c>
      <c r="F71" s="673">
        <f t="shared" si="6"/>
        <v>0</v>
      </c>
      <c r="G71" s="663">
        <f t="shared" si="7"/>
        <v>40</v>
      </c>
      <c r="H71" s="663">
        <f t="shared" si="8"/>
        <v>0</v>
      </c>
      <c r="I71" s="663">
        <f t="shared" si="9"/>
        <v>0</v>
      </c>
      <c r="J71" s="665">
        <f t="shared" si="10"/>
        <v>0</v>
      </c>
      <c r="K71" s="665">
        <f t="shared" si="15"/>
        <v>64.28571429</v>
      </c>
      <c r="L71" s="665">
        <f t="shared" si="11"/>
        <v>0</v>
      </c>
      <c r="M71" s="665">
        <f t="shared" si="12"/>
        <v>0</v>
      </c>
      <c r="N71" s="665">
        <f t="shared" si="13"/>
        <v>0</v>
      </c>
      <c r="O71" s="668">
        <f t="shared" si="14"/>
        <v>190.2857143</v>
      </c>
    </row>
    <row r="72" ht="15.75" customHeight="1">
      <c r="B72" s="686" t="s">
        <v>113</v>
      </c>
      <c r="C72" s="657">
        <f t="shared" si="3"/>
        <v>0</v>
      </c>
      <c r="D72" s="657">
        <f t="shared" si="4"/>
        <v>0</v>
      </c>
      <c r="E72" s="659">
        <f t="shared" si="5"/>
        <v>0</v>
      </c>
      <c r="F72" s="673">
        <f t="shared" si="6"/>
        <v>100</v>
      </c>
      <c r="G72" s="663">
        <f t="shared" si="7"/>
        <v>30</v>
      </c>
      <c r="H72" s="663">
        <f t="shared" si="8"/>
        <v>8</v>
      </c>
      <c r="I72" s="663">
        <f t="shared" si="9"/>
        <v>80</v>
      </c>
      <c r="J72" s="665">
        <f t="shared" si="10"/>
        <v>77</v>
      </c>
      <c r="K72" s="665">
        <f t="shared" si="15"/>
        <v>30</v>
      </c>
      <c r="L72" s="665">
        <f t="shared" si="11"/>
        <v>264.5833333</v>
      </c>
      <c r="M72" s="665">
        <f t="shared" si="12"/>
        <v>121.6216216</v>
      </c>
      <c r="N72" s="665">
        <f t="shared" si="13"/>
        <v>1273.810811</v>
      </c>
      <c r="O72" s="668">
        <f t="shared" si="14"/>
        <v>1985.015766</v>
      </c>
    </row>
    <row r="73" ht="15.75" customHeight="1">
      <c r="B73" s="690" t="s">
        <v>133</v>
      </c>
      <c r="C73" s="657">
        <f t="shared" si="3"/>
        <v>0</v>
      </c>
      <c r="D73" s="657">
        <f t="shared" si="4"/>
        <v>0</v>
      </c>
      <c r="E73" s="659">
        <f t="shared" si="5"/>
        <v>0</v>
      </c>
      <c r="F73" s="673">
        <f t="shared" si="6"/>
        <v>0</v>
      </c>
      <c r="G73" s="663">
        <f t="shared" si="7"/>
        <v>50</v>
      </c>
      <c r="H73" s="663">
        <f t="shared" si="8"/>
        <v>385</v>
      </c>
      <c r="I73" s="663">
        <f t="shared" si="9"/>
        <v>315</v>
      </c>
      <c r="J73" s="665">
        <f t="shared" si="10"/>
        <v>0</v>
      </c>
      <c r="K73" s="665">
        <f t="shared" si="15"/>
        <v>185.5714286</v>
      </c>
      <c r="L73" s="665">
        <f t="shared" si="11"/>
        <v>45.69444444</v>
      </c>
      <c r="M73" s="665">
        <f t="shared" si="12"/>
        <v>1022.401565</v>
      </c>
      <c r="N73" s="665">
        <f t="shared" si="13"/>
        <v>0</v>
      </c>
      <c r="O73" s="668">
        <f t="shared" si="14"/>
        <v>2003.667438</v>
      </c>
    </row>
    <row r="74" ht="15.75" customHeight="1">
      <c r="B74" s="680" t="s">
        <v>193</v>
      </c>
      <c r="C74" s="691"/>
      <c r="D74" s="691"/>
      <c r="E74" s="693"/>
      <c r="F74" s="694"/>
      <c r="G74" s="663"/>
      <c r="H74" s="663"/>
      <c r="I74" s="663">
        <f t="shared" si="9"/>
        <v>0</v>
      </c>
      <c r="J74" s="665">
        <f t="shared" si="10"/>
        <v>450</v>
      </c>
      <c r="K74" s="665">
        <f t="shared" si="15"/>
        <v>42.85714286</v>
      </c>
      <c r="L74" s="665">
        <f t="shared" si="11"/>
        <v>77.77777778</v>
      </c>
      <c r="M74" s="665">
        <f t="shared" si="12"/>
        <v>94.59459459</v>
      </c>
      <c r="N74" s="665">
        <f t="shared" si="13"/>
        <v>54.05405405</v>
      </c>
      <c r="O74" s="668">
        <f t="shared" si="14"/>
        <v>719.2835693</v>
      </c>
    </row>
    <row r="75" ht="15.75" customHeight="1">
      <c r="B75" s="696" t="s">
        <v>107</v>
      </c>
      <c r="C75" s="691">
        <f>SUM(I15:M15)</f>
        <v>1820</v>
      </c>
      <c r="D75" s="691">
        <f>SUM(N15:R15)</f>
        <v>2400</v>
      </c>
      <c r="E75" s="693">
        <f>SUM(S15:W15)</f>
        <v>2427</v>
      </c>
      <c r="F75" s="694">
        <f>SUM(X15:AB15)</f>
        <v>2350</v>
      </c>
      <c r="G75" s="663">
        <f>SUM(I35:M35)</f>
        <v>2500</v>
      </c>
      <c r="H75" s="663">
        <f>SUM(N35:R35)</f>
        <v>2500</v>
      </c>
      <c r="I75" s="663">
        <f t="shared" si="9"/>
        <v>2300</v>
      </c>
      <c r="J75" s="665">
        <f t="shared" si="10"/>
        <v>3550</v>
      </c>
      <c r="K75" s="665">
        <f t="shared" si="15"/>
        <v>3826.642857</v>
      </c>
      <c r="L75" s="665">
        <f t="shared" si="11"/>
        <v>3086.166667</v>
      </c>
      <c r="M75" s="665">
        <f t="shared" si="12"/>
        <v>3491.418919</v>
      </c>
      <c r="N75" s="665">
        <f>SUM(X55:AB55)/73</f>
        <v>7095.890411</v>
      </c>
      <c r="O75" s="697">
        <f t="shared" si="14"/>
        <v>37347.11885</v>
      </c>
    </row>
    <row r="76" ht="15.75" customHeight="1">
      <c r="B76" s="698" t="s">
        <v>194</v>
      </c>
      <c r="C76" s="699">
        <f t="shared" ref="C76:I76" si="16">SUM(C65:C73)+$C20+$C21</f>
        <v>3500</v>
      </c>
      <c r="D76" s="699">
        <f t="shared" si="16"/>
        <v>1189</v>
      </c>
      <c r="E76" s="699">
        <f t="shared" si="16"/>
        <v>1541</v>
      </c>
      <c r="F76" s="699">
        <f t="shared" si="16"/>
        <v>1167</v>
      </c>
      <c r="G76" s="699">
        <f t="shared" si="16"/>
        <v>1125.5</v>
      </c>
      <c r="H76" s="699">
        <f t="shared" si="16"/>
        <v>1404.8</v>
      </c>
      <c r="I76" s="699">
        <f t="shared" si="16"/>
        <v>4018.4</v>
      </c>
      <c r="J76" s="700">
        <f>SUM(J65:J71)+$C20+$C21</f>
        <v>1208.062</v>
      </c>
      <c r="K76" s="699">
        <f>SUM(K65:K74)+$C20</f>
        <v>1736.21746</v>
      </c>
      <c r="L76" s="699">
        <f>SUM(L65:L71)+$C20</f>
        <v>1295.847222</v>
      </c>
      <c r="M76" s="699">
        <f t="shared" ref="M76:N76" si="17">SUM(M65:M74)+$C20</f>
        <v>5079.482646</v>
      </c>
      <c r="N76" s="699">
        <f t="shared" si="17"/>
        <v>2749.540541</v>
      </c>
      <c r="O76" s="701"/>
    </row>
    <row r="77" ht="15.75" customHeight="1">
      <c r="B77" s="702" t="s">
        <v>195</v>
      </c>
      <c r="C77" s="703">
        <f t="shared" ref="C77:N77" si="18">C75</f>
        <v>1820</v>
      </c>
      <c r="D77" s="703">
        <f t="shared" si="18"/>
        <v>2400</v>
      </c>
      <c r="E77" s="703">
        <f t="shared" si="18"/>
        <v>2427</v>
      </c>
      <c r="F77" s="703">
        <f t="shared" si="18"/>
        <v>2350</v>
      </c>
      <c r="G77" s="703">
        <f t="shared" si="18"/>
        <v>2500</v>
      </c>
      <c r="H77" s="703">
        <f t="shared" si="18"/>
        <v>2500</v>
      </c>
      <c r="I77" s="703">
        <f t="shared" si="18"/>
        <v>2300</v>
      </c>
      <c r="J77" s="703">
        <f t="shared" si="18"/>
        <v>3550</v>
      </c>
      <c r="K77" s="703">
        <f t="shared" si="18"/>
        <v>3826.642857</v>
      </c>
      <c r="L77" s="703">
        <f t="shared" si="18"/>
        <v>3086.166667</v>
      </c>
      <c r="M77" s="703">
        <f t="shared" si="18"/>
        <v>3491.418919</v>
      </c>
      <c r="N77" s="704">
        <f t="shared" si="18"/>
        <v>7095.890411</v>
      </c>
      <c r="O77" s="701"/>
    </row>
    <row r="78" ht="15.75" customHeight="1">
      <c r="B78" s="705" t="s">
        <v>69</v>
      </c>
      <c r="C78" s="706">
        <f t="shared" ref="C78:N78" si="19">(C77 - C76)</f>
        <v>-1680</v>
      </c>
      <c r="D78" s="706">
        <f t="shared" si="19"/>
        <v>1211</v>
      </c>
      <c r="E78" s="706">
        <f t="shared" si="19"/>
        <v>886</v>
      </c>
      <c r="F78" s="706">
        <f t="shared" si="19"/>
        <v>1183</v>
      </c>
      <c r="G78" s="706">
        <f t="shared" si="19"/>
        <v>1374.5</v>
      </c>
      <c r="H78" s="706">
        <f t="shared" si="19"/>
        <v>1095.2</v>
      </c>
      <c r="I78" s="706">
        <f t="shared" si="19"/>
        <v>-1718.4</v>
      </c>
      <c r="J78" s="706">
        <f t="shared" si="19"/>
        <v>2341.938</v>
      </c>
      <c r="K78" s="706">
        <f t="shared" si="19"/>
        <v>2090.425397</v>
      </c>
      <c r="L78" s="706">
        <f t="shared" si="19"/>
        <v>1790.319444</v>
      </c>
      <c r="M78" s="706">
        <f t="shared" si="19"/>
        <v>-1588.063727</v>
      </c>
      <c r="N78" s="707">
        <f t="shared" si="19"/>
        <v>4346.34987</v>
      </c>
      <c r="O78" s="701"/>
    </row>
    <row r="79" ht="15.75" customHeight="1">
      <c r="B79" s="708" t="s">
        <v>196</v>
      </c>
      <c r="C79" s="709">
        <f t="shared" ref="C79:C80" si="20">SUM(C76:N76)</f>
        <v>26014.84987</v>
      </c>
      <c r="D79" s="249"/>
      <c r="E79" s="249"/>
      <c r="F79" s="249"/>
      <c r="G79" s="249"/>
      <c r="H79" s="249"/>
      <c r="I79" s="249"/>
      <c r="J79" s="249"/>
      <c r="K79" s="249"/>
      <c r="L79" s="249"/>
      <c r="M79" s="249"/>
      <c r="N79" s="250"/>
    </row>
    <row r="80" ht="15.75" customHeight="1">
      <c r="B80" s="710" t="s">
        <v>197</v>
      </c>
      <c r="C80" s="711">
        <f t="shared" si="20"/>
        <v>37347.11885</v>
      </c>
      <c r="D80" s="246"/>
      <c r="E80" s="246"/>
      <c r="F80" s="246"/>
      <c r="G80" s="246"/>
      <c r="H80" s="246"/>
      <c r="I80" s="246"/>
      <c r="J80" s="246"/>
      <c r="K80" s="246"/>
      <c r="L80" s="246"/>
      <c r="M80" s="246"/>
      <c r="N80" s="247"/>
    </row>
    <row r="81" ht="15.75" customHeight="1">
      <c r="B81" s="710" t="s">
        <v>198</v>
      </c>
      <c r="C81" s="711">
        <f>(C80-C79)</f>
        <v>11332.26898</v>
      </c>
      <c r="D81" s="246"/>
      <c r="E81" s="246"/>
      <c r="F81" s="246"/>
      <c r="G81" s="246"/>
      <c r="H81" s="246"/>
      <c r="I81" s="246"/>
      <c r="J81" s="246"/>
      <c r="K81" s="246"/>
      <c r="L81" s="246"/>
      <c r="M81" s="246"/>
      <c r="N81" s="247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37">
    <mergeCell ref="A1:AB2"/>
    <mergeCell ref="I3:M3"/>
    <mergeCell ref="N3:R3"/>
    <mergeCell ref="S3:W3"/>
    <mergeCell ref="X3:AB3"/>
    <mergeCell ref="C4:G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  <mergeCell ref="C18:H18"/>
    <mergeCell ref="B19:H19"/>
    <mergeCell ref="C20:H20"/>
    <mergeCell ref="C21:H21"/>
    <mergeCell ref="I23:M23"/>
    <mergeCell ref="N23:R23"/>
    <mergeCell ref="S23:W23"/>
    <mergeCell ref="X23:AB23"/>
    <mergeCell ref="I42:AB42"/>
    <mergeCell ref="C80:N80"/>
    <mergeCell ref="C81:N81"/>
    <mergeCell ref="H43:H44"/>
    <mergeCell ref="I43:M43"/>
    <mergeCell ref="N43:R43"/>
    <mergeCell ref="S43:W43"/>
    <mergeCell ref="X43:AB43"/>
    <mergeCell ref="B62:O63"/>
    <mergeCell ref="C79:N79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8.57"/>
    <col customWidth="1" min="4" max="4" width="13.0"/>
  </cols>
  <sheetData>
    <row r="1" ht="27.75" customHeight="1">
      <c r="A1" s="548" t="s">
        <v>51</v>
      </c>
      <c r="D1" s="549"/>
      <c r="E1" s="549"/>
      <c r="F1" s="549"/>
      <c r="G1" s="549"/>
      <c r="H1" s="549"/>
      <c r="I1" s="549"/>
      <c r="J1" s="549"/>
      <c r="K1" s="549"/>
      <c r="L1" s="549"/>
      <c r="M1" s="549"/>
      <c r="N1" s="549"/>
      <c r="O1" s="549"/>
      <c r="P1" s="549"/>
      <c r="Q1" s="549"/>
      <c r="R1" s="549"/>
      <c r="S1" s="549"/>
      <c r="T1" s="549"/>
      <c r="U1" s="549"/>
      <c r="V1" s="549"/>
      <c r="W1" s="549"/>
      <c r="X1" s="549"/>
      <c r="Y1" s="549"/>
      <c r="Z1" s="549"/>
    </row>
    <row r="2">
      <c r="A2" s="556" t="s">
        <v>153</v>
      </c>
      <c r="B2" s="556" t="s">
        <v>154</v>
      </c>
      <c r="C2" s="556" t="s">
        <v>155</v>
      </c>
      <c r="D2" s="556" t="s">
        <v>156</v>
      </c>
      <c r="E2" s="556"/>
      <c r="F2" s="558"/>
      <c r="G2" s="558"/>
      <c r="H2" s="559" t="s">
        <v>156</v>
      </c>
      <c r="I2" s="561" t="s">
        <v>157</v>
      </c>
      <c r="J2" s="558"/>
      <c r="K2" s="558"/>
      <c r="L2" s="558"/>
      <c r="M2" s="558"/>
      <c r="N2" s="558"/>
      <c r="O2" s="558"/>
      <c r="P2" s="558"/>
      <c r="Q2" s="558"/>
      <c r="R2" s="558"/>
      <c r="S2" s="558"/>
      <c r="T2" s="558"/>
      <c r="U2" s="558"/>
      <c r="V2" s="558"/>
      <c r="W2" s="558"/>
      <c r="X2" s="558"/>
      <c r="Y2" s="558"/>
      <c r="Z2" s="558"/>
    </row>
    <row r="3">
      <c r="A3" s="566" t="s">
        <v>158</v>
      </c>
      <c r="B3" s="566" t="s">
        <v>73</v>
      </c>
      <c r="C3" s="568">
        <v>713.33</v>
      </c>
      <c r="D3" s="569" t="s">
        <v>160</v>
      </c>
      <c r="E3" s="570"/>
      <c r="F3" s="571"/>
      <c r="G3" s="571"/>
      <c r="H3" s="572" t="s">
        <v>161</v>
      </c>
      <c r="I3" s="573">
        <v>0.2</v>
      </c>
      <c r="J3" s="571"/>
      <c r="K3" s="571"/>
      <c r="L3" s="571"/>
      <c r="M3" s="571"/>
      <c r="N3" s="571"/>
      <c r="O3" s="571"/>
      <c r="P3" s="571"/>
      <c r="Q3" s="571"/>
      <c r="R3" s="571"/>
      <c r="S3" s="571"/>
      <c r="T3" s="571"/>
      <c r="U3" s="571"/>
      <c r="V3" s="571"/>
      <c r="W3" s="571"/>
      <c r="X3" s="571"/>
      <c r="Y3" s="571"/>
      <c r="Z3" s="571"/>
    </row>
    <row r="4">
      <c r="A4" s="577" t="s">
        <v>162</v>
      </c>
      <c r="B4" s="577" t="s">
        <v>163</v>
      </c>
      <c r="C4" s="556" t="s">
        <v>164</v>
      </c>
      <c r="D4" s="579" t="s">
        <v>161</v>
      </c>
      <c r="E4" s="580"/>
      <c r="F4" s="558"/>
      <c r="G4" s="558"/>
      <c r="H4" s="582" t="s">
        <v>165</v>
      </c>
      <c r="I4" s="583">
        <v>0.0025</v>
      </c>
      <c r="J4" s="558"/>
      <c r="K4" s="558"/>
      <c r="L4" s="558"/>
      <c r="M4" s="558"/>
      <c r="N4" s="558"/>
      <c r="O4" s="558"/>
      <c r="P4" s="558"/>
      <c r="Q4" s="558"/>
      <c r="R4" s="558"/>
      <c r="S4" s="558"/>
      <c r="T4" s="558"/>
      <c r="U4" s="558"/>
      <c r="V4" s="558"/>
      <c r="W4" s="558"/>
      <c r="X4" s="558"/>
      <c r="Y4" s="558"/>
      <c r="Z4" s="558"/>
    </row>
    <row r="5">
      <c r="A5" s="566" t="s">
        <v>166</v>
      </c>
      <c r="B5" s="566" t="s">
        <v>163</v>
      </c>
      <c r="C5" s="568">
        <v>6380.56</v>
      </c>
      <c r="D5" s="569" t="s">
        <v>165</v>
      </c>
      <c r="E5" s="570"/>
      <c r="F5" s="571"/>
      <c r="G5" s="571"/>
      <c r="H5" s="587" t="s">
        <v>168</v>
      </c>
      <c r="I5" s="588">
        <v>1.0</v>
      </c>
      <c r="J5" s="571"/>
      <c r="K5" s="571"/>
      <c r="L5" s="571"/>
      <c r="M5" s="571"/>
      <c r="N5" s="571"/>
      <c r="O5" s="571"/>
      <c r="P5" s="571"/>
      <c r="Q5" s="571"/>
      <c r="R5" s="571"/>
      <c r="S5" s="571"/>
      <c r="T5" s="571"/>
      <c r="U5" s="571"/>
      <c r="V5" s="571"/>
      <c r="W5" s="571"/>
      <c r="X5" s="571"/>
      <c r="Y5" s="571"/>
      <c r="Z5" s="571"/>
    </row>
    <row r="6">
      <c r="A6" s="577" t="s">
        <v>169</v>
      </c>
      <c r="B6" s="577" t="s">
        <v>170</v>
      </c>
      <c r="C6" s="556">
        <v>7733.86</v>
      </c>
      <c r="D6" s="579" t="s">
        <v>161</v>
      </c>
      <c r="E6" s="580"/>
      <c r="F6" s="558"/>
      <c r="G6" s="558"/>
      <c r="H6" s="558"/>
      <c r="I6" s="558"/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</row>
    <row r="7">
      <c r="A7" s="566" t="s">
        <v>172</v>
      </c>
      <c r="B7" s="566" t="s">
        <v>35</v>
      </c>
      <c r="C7" s="568">
        <v>521942.0</v>
      </c>
      <c r="D7" s="569" t="s">
        <v>165</v>
      </c>
      <c r="E7" s="570"/>
      <c r="F7" s="571"/>
      <c r="G7" s="571"/>
      <c r="H7" s="571"/>
      <c r="I7" s="571"/>
      <c r="J7" s="571"/>
      <c r="K7" s="571"/>
      <c r="L7" s="571"/>
      <c r="M7" s="571"/>
      <c r="N7" s="571"/>
      <c r="O7" s="571"/>
      <c r="P7" s="571"/>
      <c r="Q7" s="571"/>
      <c r="R7" s="571"/>
      <c r="S7" s="571"/>
      <c r="T7" s="571"/>
      <c r="U7" s="571"/>
      <c r="V7" s="571"/>
      <c r="W7" s="571"/>
      <c r="X7" s="571"/>
      <c r="Y7" s="571"/>
      <c r="Z7" s="571"/>
    </row>
    <row r="8">
      <c r="A8" s="577" t="s">
        <v>173</v>
      </c>
      <c r="B8" s="577" t="s">
        <v>174</v>
      </c>
      <c r="C8" s="556">
        <v>14.2</v>
      </c>
      <c r="D8" s="579" t="s">
        <v>168</v>
      </c>
      <c r="E8" s="601"/>
      <c r="F8" s="558"/>
      <c r="G8" s="558"/>
      <c r="H8" s="558"/>
      <c r="I8" s="558"/>
      <c r="J8" s="558"/>
      <c r="K8" s="558"/>
      <c r="L8" s="558"/>
      <c r="M8" s="558"/>
      <c r="N8" s="558"/>
      <c r="O8" s="558"/>
      <c r="P8" s="558"/>
      <c r="Q8" s="558"/>
      <c r="R8" s="558"/>
      <c r="S8" s="558"/>
      <c r="T8" s="558"/>
      <c r="U8" s="558"/>
      <c r="V8" s="558"/>
      <c r="W8" s="558"/>
      <c r="X8" s="558"/>
      <c r="Y8" s="558"/>
      <c r="Z8" s="558"/>
    </row>
    <row r="9">
      <c r="A9" s="566" t="s">
        <v>175</v>
      </c>
      <c r="B9" s="566" t="s">
        <v>176</v>
      </c>
      <c r="C9" s="568">
        <v>102.78</v>
      </c>
      <c r="D9" s="569" t="s">
        <v>161</v>
      </c>
      <c r="E9" s="610"/>
      <c r="F9" s="571"/>
      <c r="G9" s="571"/>
      <c r="H9" s="571"/>
      <c r="I9" s="571"/>
      <c r="J9" s="571"/>
      <c r="K9" s="571"/>
      <c r="L9" s="571"/>
      <c r="M9" s="571"/>
      <c r="N9" s="571"/>
      <c r="O9" s="571"/>
      <c r="P9" s="571"/>
      <c r="Q9" s="571"/>
      <c r="R9" s="571"/>
      <c r="S9" s="571"/>
      <c r="T9" s="571"/>
      <c r="U9" s="571"/>
      <c r="V9" s="571"/>
      <c r="W9" s="571"/>
      <c r="X9" s="571"/>
      <c r="Y9" s="571"/>
      <c r="Z9" s="571"/>
    </row>
    <row r="10">
      <c r="A10" s="616" t="s">
        <v>69</v>
      </c>
      <c r="B10" s="616" t="s">
        <v>177</v>
      </c>
      <c r="C10" s="620">
        <f t="shared" ref="C10:C12" si="1">SUMIF($D$3:$D$9,D10,$C$3:$C$9)</f>
        <v>713.33</v>
      </c>
      <c r="D10" s="621" t="s">
        <v>160</v>
      </c>
      <c r="E10" s="623"/>
      <c r="F10" s="623"/>
      <c r="G10" s="623"/>
      <c r="H10" s="623"/>
      <c r="I10" s="623"/>
      <c r="J10" s="623"/>
      <c r="K10" s="623"/>
      <c r="L10" s="623"/>
      <c r="M10" s="623"/>
      <c r="N10" s="623"/>
      <c r="O10" s="623"/>
      <c r="P10" s="623"/>
      <c r="Q10" s="623"/>
      <c r="R10" s="623"/>
      <c r="S10" s="623"/>
      <c r="T10" s="623"/>
      <c r="U10" s="623"/>
      <c r="V10" s="623"/>
      <c r="W10" s="623"/>
      <c r="X10" s="623"/>
      <c r="Y10" s="623"/>
      <c r="Z10" s="623"/>
    </row>
    <row r="11">
      <c r="A11" s="629"/>
      <c r="B11" s="629"/>
      <c r="C11" s="631">
        <f t="shared" si="1"/>
        <v>528322.56</v>
      </c>
      <c r="D11" s="569" t="s">
        <v>165</v>
      </c>
      <c r="E11" s="571"/>
      <c r="F11" s="571"/>
      <c r="G11" s="571"/>
      <c r="H11" s="571"/>
      <c r="I11" s="571"/>
      <c r="J11" s="571"/>
      <c r="K11" s="571"/>
      <c r="L11" s="571"/>
      <c r="M11" s="571"/>
      <c r="N11" s="571"/>
      <c r="O11" s="571"/>
      <c r="P11" s="571"/>
      <c r="Q11" s="571"/>
      <c r="R11" s="571"/>
      <c r="S11" s="571"/>
      <c r="T11" s="571"/>
      <c r="U11" s="571"/>
      <c r="V11" s="571"/>
      <c r="W11" s="571"/>
      <c r="X11" s="571"/>
      <c r="Y11" s="571"/>
      <c r="Z11" s="571"/>
    </row>
    <row r="12">
      <c r="A12" s="639"/>
      <c r="B12" s="639"/>
      <c r="C12" s="631">
        <f t="shared" si="1"/>
        <v>7836.64</v>
      </c>
      <c r="D12" s="579" t="s">
        <v>161</v>
      </c>
      <c r="E12" s="558"/>
      <c r="F12" s="558"/>
      <c r="G12" s="558"/>
      <c r="H12" s="558"/>
      <c r="I12" s="558"/>
      <c r="J12" s="558"/>
      <c r="K12" s="558"/>
      <c r="L12" s="558"/>
      <c r="M12" s="558"/>
      <c r="N12" s="558"/>
      <c r="O12" s="558"/>
      <c r="P12" s="558"/>
      <c r="Q12" s="558"/>
      <c r="R12" s="558"/>
      <c r="S12" s="558"/>
      <c r="T12" s="558"/>
      <c r="U12" s="558"/>
      <c r="V12" s="558"/>
      <c r="W12" s="558"/>
      <c r="X12" s="558"/>
      <c r="Y12" s="558"/>
      <c r="Z12" s="558"/>
    </row>
    <row r="13">
      <c r="A13" s="629"/>
      <c r="B13" s="629"/>
      <c r="C13" s="644">
        <f>(C10 + C11*I4 + C12*I3)</f>
        <v>3601.4644</v>
      </c>
      <c r="D13" s="569" t="s">
        <v>182</v>
      </c>
      <c r="E13" s="571"/>
      <c r="F13" s="571"/>
      <c r="G13" s="571"/>
      <c r="H13" s="571"/>
      <c r="I13" s="571"/>
      <c r="J13" s="571"/>
      <c r="K13" s="571"/>
      <c r="L13" s="571"/>
      <c r="M13" s="571"/>
      <c r="N13" s="571"/>
      <c r="O13" s="571"/>
      <c r="P13" s="571"/>
      <c r="Q13" s="571"/>
      <c r="R13" s="571"/>
      <c r="S13" s="571"/>
      <c r="T13" s="571"/>
      <c r="U13" s="571"/>
      <c r="V13" s="571"/>
      <c r="W13" s="571"/>
      <c r="X13" s="571"/>
      <c r="Y13" s="571"/>
      <c r="Z13" s="571"/>
    </row>
    <row r="14">
      <c r="C14" s="647"/>
    </row>
    <row r="15">
      <c r="C15" s="647"/>
    </row>
    <row r="16">
      <c r="C16" s="647"/>
    </row>
    <row r="17">
      <c r="C17" s="647"/>
    </row>
    <row r="18">
      <c r="C18" s="647"/>
    </row>
    <row r="19">
      <c r="C19" s="647"/>
    </row>
    <row r="20">
      <c r="C20" s="647"/>
    </row>
    <row r="21">
      <c r="C21" s="647"/>
    </row>
    <row r="22">
      <c r="C22" s="647"/>
    </row>
    <row r="23">
      <c r="C23" s="647"/>
    </row>
    <row r="24">
      <c r="C24" s="647"/>
    </row>
    <row r="25">
      <c r="C25" s="647"/>
    </row>
    <row r="26">
      <c r="C26" s="647"/>
    </row>
    <row r="27">
      <c r="C27" s="647"/>
    </row>
    <row r="28">
      <c r="C28" s="647"/>
    </row>
    <row r="29">
      <c r="C29" s="647"/>
    </row>
    <row r="30">
      <c r="C30" s="647"/>
    </row>
    <row r="31">
      <c r="C31" s="647"/>
    </row>
    <row r="32">
      <c r="C32" s="647"/>
    </row>
    <row r="33">
      <c r="C33" s="647"/>
    </row>
    <row r="34">
      <c r="C34" s="647"/>
    </row>
    <row r="35">
      <c r="C35" s="647"/>
    </row>
    <row r="36">
      <c r="C36" s="647"/>
    </row>
    <row r="37">
      <c r="C37" s="647"/>
    </row>
    <row r="38">
      <c r="C38" s="647"/>
    </row>
    <row r="39">
      <c r="C39" s="647"/>
    </row>
    <row r="40">
      <c r="C40" s="647"/>
    </row>
    <row r="41">
      <c r="C41" s="647"/>
    </row>
    <row r="42">
      <c r="C42" s="647"/>
    </row>
    <row r="43">
      <c r="C43" s="647"/>
    </row>
    <row r="44">
      <c r="C44" s="647"/>
    </row>
    <row r="45">
      <c r="C45" s="647"/>
    </row>
    <row r="46">
      <c r="C46" s="647"/>
    </row>
    <row r="47">
      <c r="C47" s="647"/>
    </row>
    <row r="48">
      <c r="C48" s="647"/>
    </row>
    <row r="49">
      <c r="C49" s="647"/>
    </row>
    <row r="50">
      <c r="C50" s="647"/>
    </row>
    <row r="51">
      <c r="C51" s="647"/>
    </row>
    <row r="52">
      <c r="C52" s="647"/>
    </row>
    <row r="53">
      <c r="C53" s="647"/>
    </row>
    <row r="54">
      <c r="C54" s="647"/>
    </row>
    <row r="55">
      <c r="C55" s="647"/>
    </row>
    <row r="56">
      <c r="C56" s="647"/>
    </row>
    <row r="57">
      <c r="C57" s="647"/>
    </row>
    <row r="58">
      <c r="C58" s="647"/>
    </row>
    <row r="59">
      <c r="C59" s="647"/>
    </row>
    <row r="60">
      <c r="C60" s="647"/>
    </row>
    <row r="61">
      <c r="C61" s="647"/>
    </row>
    <row r="62">
      <c r="C62" s="647"/>
    </row>
    <row r="63">
      <c r="C63" s="647"/>
    </row>
    <row r="64">
      <c r="C64" s="647"/>
    </row>
    <row r="65">
      <c r="C65" s="647"/>
    </row>
    <row r="66">
      <c r="C66" s="647"/>
    </row>
    <row r="67">
      <c r="C67" s="647"/>
    </row>
    <row r="68">
      <c r="C68" s="647"/>
    </row>
    <row r="69">
      <c r="C69" s="647"/>
    </row>
    <row r="70">
      <c r="C70" s="647"/>
    </row>
    <row r="71">
      <c r="C71" s="647"/>
    </row>
    <row r="72">
      <c r="C72" s="647"/>
    </row>
    <row r="73">
      <c r="C73" s="647"/>
    </row>
    <row r="74">
      <c r="C74" s="647"/>
    </row>
    <row r="75">
      <c r="C75" s="647"/>
    </row>
    <row r="76">
      <c r="C76" s="647"/>
    </row>
    <row r="77">
      <c r="C77" s="647"/>
    </row>
    <row r="78">
      <c r="C78" s="647"/>
    </row>
    <row r="79">
      <c r="C79" s="647"/>
    </row>
    <row r="80">
      <c r="C80" s="647"/>
    </row>
    <row r="81">
      <c r="C81" s="647"/>
    </row>
    <row r="82">
      <c r="C82" s="647"/>
    </row>
    <row r="83">
      <c r="C83" s="647"/>
    </row>
    <row r="84">
      <c r="C84" s="647"/>
    </row>
    <row r="85">
      <c r="C85" s="647"/>
    </row>
    <row r="86">
      <c r="C86" s="647"/>
    </row>
    <row r="87">
      <c r="C87" s="647"/>
    </row>
    <row r="88">
      <c r="C88" s="647"/>
    </row>
    <row r="89">
      <c r="C89" s="647"/>
    </row>
    <row r="90">
      <c r="C90" s="647"/>
    </row>
    <row r="91">
      <c r="C91" s="647"/>
    </row>
    <row r="92">
      <c r="C92" s="647"/>
    </row>
    <row r="93">
      <c r="C93" s="647"/>
    </row>
    <row r="94">
      <c r="C94" s="647"/>
    </row>
    <row r="95">
      <c r="C95" s="647"/>
    </row>
    <row r="96">
      <c r="C96" s="647"/>
    </row>
    <row r="97">
      <c r="C97" s="647"/>
    </row>
    <row r="98">
      <c r="C98" s="647"/>
    </row>
    <row r="99">
      <c r="C99" s="647"/>
    </row>
    <row r="100">
      <c r="C100" s="647"/>
    </row>
    <row r="101">
      <c r="C101" s="647"/>
    </row>
    <row r="102">
      <c r="C102" s="647"/>
    </row>
    <row r="103">
      <c r="C103" s="647"/>
    </row>
    <row r="104">
      <c r="C104" s="647"/>
    </row>
    <row r="105">
      <c r="C105" s="647"/>
    </row>
    <row r="106">
      <c r="C106" s="647"/>
    </row>
    <row r="107">
      <c r="C107" s="647"/>
    </row>
    <row r="108">
      <c r="C108" s="647"/>
    </row>
    <row r="109">
      <c r="C109" s="647"/>
    </row>
    <row r="110">
      <c r="C110" s="647"/>
    </row>
    <row r="111">
      <c r="C111" s="647"/>
    </row>
    <row r="112">
      <c r="C112" s="647"/>
    </row>
    <row r="113">
      <c r="C113" s="647"/>
    </row>
    <row r="114">
      <c r="C114" s="647"/>
    </row>
    <row r="115">
      <c r="C115" s="647"/>
    </row>
    <row r="116">
      <c r="C116" s="647"/>
    </row>
    <row r="117">
      <c r="C117" s="647"/>
    </row>
    <row r="118">
      <c r="C118" s="647"/>
    </row>
    <row r="119">
      <c r="C119" s="647"/>
    </row>
    <row r="120">
      <c r="C120" s="647"/>
    </row>
    <row r="121">
      <c r="C121" s="647"/>
    </row>
    <row r="122">
      <c r="C122" s="647"/>
    </row>
    <row r="123">
      <c r="C123" s="647"/>
    </row>
    <row r="124">
      <c r="C124" s="647"/>
    </row>
    <row r="125">
      <c r="C125" s="647"/>
    </row>
    <row r="126">
      <c r="C126" s="647"/>
    </row>
    <row r="127">
      <c r="C127" s="647"/>
    </row>
    <row r="128">
      <c r="C128" s="647"/>
    </row>
    <row r="129">
      <c r="C129" s="647"/>
    </row>
    <row r="130">
      <c r="C130" s="647"/>
    </row>
    <row r="131">
      <c r="C131" s="647"/>
    </row>
    <row r="132">
      <c r="C132" s="647"/>
    </row>
    <row r="133">
      <c r="C133" s="647"/>
    </row>
    <row r="134">
      <c r="C134" s="647"/>
    </row>
    <row r="135">
      <c r="C135" s="647"/>
    </row>
    <row r="136">
      <c r="C136" s="647"/>
    </row>
    <row r="137">
      <c r="C137" s="647"/>
    </row>
    <row r="138">
      <c r="C138" s="647"/>
    </row>
    <row r="139">
      <c r="C139" s="647"/>
    </row>
    <row r="140">
      <c r="C140" s="647"/>
    </row>
    <row r="141">
      <c r="C141" s="647"/>
    </row>
    <row r="142">
      <c r="C142" s="647"/>
    </row>
    <row r="143">
      <c r="C143" s="647"/>
    </row>
    <row r="144">
      <c r="C144" s="647"/>
    </row>
    <row r="145">
      <c r="C145" s="647"/>
    </row>
    <row r="146">
      <c r="C146" s="647"/>
    </row>
    <row r="147">
      <c r="C147" s="647"/>
    </row>
    <row r="148">
      <c r="C148" s="647"/>
    </row>
    <row r="149">
      <c r="C149" s="647"/>
    </row>
    <row r="150">
      <c r="C150" s="647"/>
    </row>
    <row r="151">
      <c r="C151" s="647"/>
    </row>
    <row r="152">
      <c r="C152" s="647"/>
    </row>
    <row r="153">
      <c r="C153" s="647"/>
    </row>
    <row r="154">
      <c r="C154" s="647"/>
    </row>
    <row r="155">
      <c r="C155" s="647"/>
    </row>
    <row r="156">
      <c r="C156" s="647"/>
    </row>
    <row r="157">
      <c r="C157" s="647"/>
    </row>
    <row r="158">
      <c r="C158" s="647"/>
    </row>
    <row r="159">
      <c r="C159" s="647"/>
    </row>
    <row r="160">
      <c r="C160" s="647"/>
    </row>
    <row r="161">
      <c r="C161" s="647"/>
    </row>
    <row r="162">
      <c r="C162" s="647"/>
    </row>
    <row r="163">
      <c r="C163" s="647"/>
    </row>
    <row r="164">
      <c r="C164" s="647"/>
    </row>
    <row r="165">
      <c r="C165" s="647"/>
    </row>
    <row r="166">
      <c r="C166" s="647"/>
    </row>
    <row r="167">
      <c r="C167" s="647"/>
    </row>
    <row r="168">
      <c r="C168" s="647"/>
    </row>
    <row r="169">
      <c r="C169" s="647"/>
    </row>
    <row r="170">
      <c r="C170" s="647"/>
    </row>
    <row r="171">
      <c r="C171" s="647"/>
    </row>
    <row r="172">
      <c r="C172" s="647"/>
    </row>
    <row r="173">
      <c r="C173" s="647"/>
    </row>
    <row r="174">
      <c r="C174" s="647"/>
    </row>
    <row r="175">
      <c r="C175" s="647"/>
    </row>
    <row r="176">
      <c r="C176" s="647"/>
    </row>
    <row r="177">
      <c r="C177" s="647"/>
    </row>
    <row r="178">
      <c r="C178" s="647"/>
    </row>
    <row r="179">
      <c r="C179" s="647"/>
    </row>
    <row r="180">
      <c r="C180" s="647"/>
    </row>
    <row r="181">
      <c r="C181" s="647"/>
    </row>
    <row r="182">
      <c r="C182" s="647"/>
    </row>
    <row r="183">
      <c r="C183" s="647"/>
    </row>
    <row r="184">
      <c r="C184" s="647"/>
    </row>
    <row r="185">
      <c r="C185" s="647"/>
    </row>
    <row r="186">
      <c r="C186" s="647"/>
    </row>
    <row r="187">
      <c r="C187" s="647"/>
    </row>
    <row r="188">
      <c r="C188" s="647"/>
    </row>
    <row r="189">
      <c r="C189" s="647"/>
    </row>
    <row r="190">
      <c r="C190" s="647"/>
    </row>
    <row r="191">
      <c r="C191" s="647"/>
    </row>
    <row r="192">
      <c r="C192" s="647"/>
    </row>
    <row r="193">
      <c r="C193" s="647"/>
    </row>
    <row r="194">
      <c r="C194" s="647"/>
    </row>
    <row r="195">
      <c r="C195" s="647"/>
    </row>
    <row r="196">
      <c r="C196" s="647"/>
    </row>
    <row r="197">
      <c r="C197" s="647"/>
    </row>
    <row r="198">
      <c r="C198" s="647"/>
    </row>
    <row r="199">
      <c r="C199" s="647"/>
    </row>
    <row r="200">
      <c r="C200" s="647"/>
    </row>
    <row r="201">
      <c r="C201" s="647"/>
    </row>
    <row r="202">
      <c r="C202" s="647"/>
    </row>
    <row r="203">
      <c r="C203" s="647"/>
    </row>
    <row r="204">
      <c r="C204" s="647"/>
    </row>
    <row r="205">
      <c r="C205" s="647"/>
    </row>
    <row r="206">
      <c r="C206" s="647"/>
    </row>
    <row r="207">
      <c r="C207" s="647"/>
    </row>
    <row r="208">
      <c r="C208" s="647"/>
    </row>
    <row r="209">
      <c r="C209" s="647"/>
    </row>
    <row r="210">
      <c r="C210" s="647"/>
    </row>
    <row r="211">
      <c r="C211" s="647"/>
    </row>
    <row r="212">
      <c r="C212" s="647"/>
    </row>
    <row r="213">
      <c r="C213" s="647"/>
    </row>
    <row r="214">
      <c r="C214" s="647"/>
    </row>
    <row r="215">
      <c r="C215" s="647"/>
    </row>
    <row r="216">
      <c r="C216" s="647"/>
    </row>
    <row r="217">
      <c r="C217" s="647"/>
    </row>
    <row r="218">
      <c r="C218" s="647"/>
    </row>
    <row r="219">
      <c r="C219" s="647"/>
    </row>
    <row r="220">
      <c r="C220" s="647"/>
    </row>
    <row r="221">
      <c r="C221" s="647"/>
    </row>
    <row r="222">
      <c r="C222" s="647"/>
    </row>
    <row r="223">
      <c r="C223" s="647"/>
    </row>
    <row r="224">
      <c r="C224" s="647"/>
    </row>
    <row r="225">
      <c r="C225" s="647"/>
    </row>
    <row r="226">
      <c r="C226" s="647"/>
    </row>
    <row r="227">
      <c r="C227" s="647"/>
    </row>
    <row r="228">
      <c r="C228" s="647"/>
    </row>
    <row r="229">
      <c r="C229" s="647"/>
    </row>
    <row r="230">
      <c r="C230" s="647"/>
    </row>
    <row r="231">
      <c r="C231" s="647"/>
    </row>
    <row r="232">
      <c r="C232" s="647"/>
    </row>
    <row r="233">
      <c r="C233" s="647"/>
    </row>
    <row r="234">
      <c r="C234" s="647"/>
    </row>
    <row r="235">
      <c r="C235" s="647"/>
    </row>
    <row r="236">
      <c r="C236" s="647"/>
    </row>
    <row r="237">
      <c r="C237" s="647"/>
    </row>
    <row r="238">
      <c r="C238" s="647"/>
    </row>
    <row r="239">
      <c r="C239" s="647"/>
    </row>
    <row r="240">
      <c r="C240" s="647"/>
    </row>
    <row r="241">
      <c r="C241" s="647"/>
    </row>
    <row r="242">
      <c r="C242" s="647"/>
    </row>
    <row r="243">
      <c r="C243" s="647"/>
    </row>
    <row r="244">
      <c r="C244" s="647"/>
    </row>
    <row r="245">
      <c r="C245" s="647"/>
    </row>
    <row r="246">
      <c r="C246" s="647"/>
    </row>
    <row r="247">
      <c r="C247" s="647"/>
    </row>
    <row r="248">
      <c r="C248" s="647"/>
    </row>
    <row r="249">
      <c r="C249" s="647"/>
    </row>
    <row r="250">
      <c r="C250" s="647"/>
    </row>
    <row r="251">
      <c r="C251" s="647"/>
    </row>
    <row r="252">
      <c r="C252" s="647"/>
    </row>
    <row r="253">
      <c r="C253" s="647"/>
    </row>
    <row r="254">
      <c r="C254" s="647"/>
    </row>
    <row r="255">
      <c r="C255" s="647"/>
    </row>
    <row r="256">
      <c r="C256" s="647"/>
    </row>
    <row r="257">
      <c r="C257" s="647"/>
    </row>
    <row r="258">
      <c r="C258" s="647"/>
    </row>
    <row r="259">
      <c r="C259" s="647"/>
    </row>
    <row r="260">
      <c r="C260" s="647"/>
    </row>
    <row r="261">
      <c r="C261" s="647"/>
    </row>
    <row r="262">
      <c r="C262" s="647"/>
    </row>
    <row r="263">
      <c r="C263" s="647"/>
    </row>
    <row r="264">
      <c r="C264" s="647"/>
    </row>
    <row r="265">
      <c r="C265" s="647"/>
    </row>
    <row r="266">
      <c r="C266" s="647"/>
    </row>
    <row r="267">
      <c r="C267" s="647"/>
    </row>
    <row r="268">
      <c r="C268" s="647"/>
    </row>
    <row r="269">
      <c r="C269" s="647"/>
    </row>
    <row r="270">
      <c r="C270" s="647"/>
    </row>
    <row r="271">
      <c r="C271" s="647"/>
    </row>
    <row r="272">
      <c r="C272" s="647"/>
    </row>
    <row r="273">
      <c r="C273" s="647"/>
    </row>
    <row r="274">
      <c r="C274" s="647"/>
    </row>
    <row r="275">
      <c r="C275" s="647"/>
    </row>
    <row r="276">
      <c r="C276" s="647"/>
    </row>
    <row r="277">
      <c r="C277" s="647"/>
    </row>
    <row r="278">
      <c r="C278" s="647"/>
    </row>
    <row r="279">
      <c r="C279" s="647"/>
    </row>
    <row r="280">
      <c r="C280" s="647"/>
    </row>
    <row r="281">
      <c r="C281" s="647"/>
    </row>
    <row r="282">
      <c r="C282" s="647"/>
    </row>
    <row r="283">
      <c r="C283" s="647"/>
    </row>
    <row r="284">
      <c r="C284" s="647"/>
    </row>
    <row r="285">
      <c r="C285" s="647"/>
    </row>
    <row r="286">
      <c r="C286" s="647"/>
    </row>
    <row r="287">
      <c r="C287" s="647"/>
    </row>
    <row r="288">
      <c r="C288" s="647"/>
    </row>
    <row r="289">
      <c r="C289" s="647"/>
    </row>
    <row r="290">
      <c r="C290" s="647"/>
    </row>
    <row r="291">
      <c r="C291" s="647"/>
    </row>
    <row r="292">
      <c r="C292" s="647"/>
    </row>
    <row r="293">
      <c r="C293" s="647"/>
    </row>
    <row r="294">
      <c r="C294" s="647"/>
    </row>
    <row r="295">
      <c r="C295" s="647"/>
    </row>
    <row r="296">
      <c r="C296" s="647"/>
    </row>
    <row r="297">
      <c r="C297" s="647"/>
    </row>
    <row r="298">
      <c r="C298" s="647"/>
    </row>
    <row r="299">
      <c r="C299" s="647"/>
    </row>
    <row r="300">
      <c r="C300" s="647"/>
    </row>
    <row r="301">
      <c r="C301" s="647"/>
    </row>
    <row r="302">
      <c r="C302" s="647"/>
    </row>
    <row r="303">
      <c r="C303" s="647"/>
    </row>
    <row r="304">
      <c r="C304" s="647"/>
    </row>
    <row r="305">
      <c r="C305" s="647"/>
    </row>
    <row r="306">
      <c r="C306" s="647"/>
    </row>
    <row r="307">
      <c r="C307" s="647"/>
    </row>
    <row r="308">
      <c r="C308" s="647"/>
    </row>
    <row r="309">
      <c r="C309" s="647"/>
    </row>
    <row r="310">
      <c r="C310" s="647"/>
    </row>
    <row r="311">
      <c r="C311" s="647"/>
    </row>
    <row r="312">
      <c r="C312" s="647"/>
    </row>
    <row r="313">
      <c r="C313" s="647"/>
    </row>
    <row r="314">
      <c r="C314" s="647"/>
    </row>
    <row r="315">
      <c r="C315" s="647"/>
    </row>
    <row r="316">
      <c r="C316" s="647"/>
    </row>
    <row r="317">
      <c r="C317" s="647"/>
    </row>
    <row r="318">
      <c r="C318" s="647"/>
    </row>
    <row r="319">
      <c r="C319" s="647"/>
    </row>
    <row r="320">
      <c r="C320" s="647"/>
    </row>
    <row r="321">
      <c r="C321" s="647"/>
    </row>
    <row r="322">
      <c r="C322" s="647"/>
    </row>
    <row r="323">
      <c r="C323" s="647"/>
    </row>
    <row r="324">
      <c r="C324" s="647"/>
    </row>
    <row r="325">
      <c r="C325" s="647"/>
    </row>
    <row r="326">
      <c r="C326" s="647"/>
    </row>
    <row r="327">
      <c r="C327" s="647"/>
    </row>
    <row r="328">
      <c r="C328" s="647"/>
    </row>
    <row r="329">
      <c r="C329" s="647"/>
    </row>
    <row r="330">
      <c r="C330" s="647"/>
    </row>
    <row r="331">
      <c r="C331" s="647"/>
    </row>
    <row r="332">
      <c r="C332" s="647"/>
    </row>
    <row r="333">
      <c r="C333" s="647"/>
    </row>
    <row r="334">
      <c r="C334" s="647"/>
    </row>
    <row r="335">
      <c r="C335" s="647"/>
    </row>
    <row r="336">
      <c r="C336" s="647"/>
    </row>
    <row r="337">
      <c r="C337" s="647"/>
    </row>
    <row r="338">
      <c r="C338" s="647"/>
    </row>
    <row r="339">
      <c r="C339" s="647"/>
    </row>
    <row r="340">
      <c r="C340" s="647"/>
    </row>
    <row r="341">
      <c r="C341" s="647"/>
    </row>
    <row r="342">
      <c r="C342" s="647"/>
    </row>
    <row r="343">
      <c r="C343" s="647"/>
    </row>
    <row r="344">
      <c r="C344" s="647"/>
    </row>
    <row r="345">
      <c r="C345" s="647"/>
    </row>
    <row r="346">
      <c r="C346" s="647"/>
    </row>
    <row r="347">
      <c r="C347" s="647"/>
    </row>
    <row r="348">
      <c r="C348" s="647"/>
    </row>
    <row r="349">
      <c r="C349" s="647"/>
    </row>
    <row r="350">
      <c r="C350" s="647"/>
    </row>
    <row r="351">
      <c r="C351" s="647"/>
    </row>
    <row r="352">
      <c r="C352" s="647"/>
    </row>
    <row r="353">
      <c r="C353" s="647"/>
    </row>
    <row r="354">
      <c r="C354" s="647"/>
    </row>
    <row r="355">
      <c r="C355" s="647"/>
    </row>
    <row r="356">
      <c r="C356" s="647"/>
    </row>
    <row r="357">
      <c r="C357" s="647"/>
    </row>
    <row r="358">
      <c r="C358" s="647"/>
    </row>
    <row r="359">
      <c r="C359" s="647"/>
    </row>
    <row r="360">
      <c r="C360" s="647"/>
    </row>
    <row r="361">
      <c r="C361" s="647"/>
    </row>
    <row r="362">
      <c r="C362" s="647"/>
    </row>
    <row r="363">
      <c r="C363" s="647"/>
    </row>
    <row r="364">
      <c r="C364" s="647"/>
    </row>
    <row r="365">
      <c r="C365" s="647"/>
    </row>
    <row r="366">
      <c r="C366" s="647"/>
    </row>
    <row r="367">
      <c r="C367" s="647"/>
    </row>
    <row r="368">
      <c r="C368" s="647"/>
    </row>
    <row r="369">
      <c r="C369" s="647"/>
    </row>
    <row r="370">
      <c r="C370" s="647"/>
    </row>
    <row r="371">
      <c r="C371" s="647"/>
    </row>
    <row r="372">
      <c r="C372" s="647"/>
    </row>
    <row r="373">
      <c r="C373" s="647"/>
    </row>
    <row r="374">
      <c r="C374" s="647"/>
    </row>
    <row r="375">
      <c r="C375" s="647"/>
    </row>
    <row r="376">
      <c r="C376" s="647"/>
    </row>
    <row r="377">
      <c r="C377" s="647"/>
    </row>
    <row r="378">
      <c r="C378" s="647"/>
    </row>
    <row r="379">
      <c r="C379" s="647"/>
    </row>
    <row r="380">
      <c r="C380" s="647"/>
    </row>
    <row r="381">
      <c r="C381" s="647"/>
    </row>
    <row r="382">
      <c r="C382" s="647"/>
    </row>
    <row r="383">
      <c r="C383" s="647"/>
    </row>
    <row r="384">
      <c r="C384" s="647"/>
    </row>
    <row r="385">
      <c r="C385" s="647"/>
    </row>
    <row r="386">
      <c r="C386" s="647"/>
    </row>
    <row r="387">
      <c r="C387" s="647"/>
    </row>
    <row r="388">
      <c r="C388" s="647"/>
    </row>
    <row r="389">
      <c r="C389" s="647"/>
    </row>
    <row r="390">
      <c r="C390" s="647"/>
    </row>
    <row r="391">
      <c r="C391" s="647"/>
    </row>
    <row r="392">
      <c r="C392" s="647"/>
    </row>
    <row r="393">
      <c r="C393" s="647"/>
    </row>
    <row r="394">
      <c r="C394" s="647"/>
    </row>
    <row r="395">
      <c r="C395" s="647"/>
    </row>
    <row r="396">
      <c r="C396" s="647"/>
    </row>
    <row r="397">
      <c r="C397" s="647"/>
    </row>
    <row r="398">
      <c r="C398" s="647"/>
    </row>
    <row r="399">
      <c r="C399" s="647"/>
    </row>
    <row r="400">
      <c r="C400" s="647"/>
    </row>
    <row r="401">
      <c r="C401" s="647"/>
    </row>
    <row r="402">
      <c r="C402" s="647"/>
    </row>
    <row r="403">
      <c r="C403" s="647"/>
    </row>
    <row r="404">
      <c r="C404" s="647"/>
    </row>
    <row r="405">
      <c r="C405" s="647"/>
    </row>
    <row r="406">
      <c r="C406" s="647"/>
    </row>
    <row r="407">
      <c r="C407" s="647"/>
    </row>
    <row r="408">
      <c r="C408" s="647"/>
    </row>
    <row r="409">
      <c r="C409" s="647"/>
    </row>
    <row r="410">
      <c r="C410" s="647"/>
    </row>
    <row r="411">
      <c r="C411" s="647"/>
    </row>
    <row r="412">
      <c r="C412" s="647"/>
    </row>
    <row r="413">
      <c r="C413" s="647"/>
    </row>
    <row r="414">
      <c r="C414" s="647"/>
    </row>
    <row r="415">
      <c r="C415" s="647"/>
    </row>
    <row r="416">
      <c r="C416" s="647"/>
    </row>
    <row r="417">
      <c r="C417" s="647"/>
    </row>
    <row r="418">
      <c r="C418" s="647"/>
    </row>
    <row r="419">
      <c r="C419" s="647"/>
    </row>
    <row r="420">
      <c r="C420" s="647"/>
    </row>
    <row r="421">
      <c r="C421" s="647"/>
    </row>
    <row r="422">
      <c r="C422" s="647"/>
    </row>
    <row r="423">
      <c r="C423" s="647"/>
    </row>
    <row r="424">
      <c r="C424" s="647"/>
    </row>
    <row r="425">
      <c r="C425" s="647"/>
    </row>
    <row r="426">
      <c r="C426" s="647"/>
    </row>
    <row r="427">
      <c r="C427" s="647"/>
    </row>
    <row r="428">
      <c r="C428" s="647"/>
    </row>
    <row r="429">
      <c r="C429" s="647"/>
    </row>
    <row r="430">
      <c r="C430" s="647"/>
    </row>
    <row r="431">
      <c r="C431" s="647"/>
    </row>
    <row r="432">
      <c r="C432" s="647"/>
    </row>
    <row r="433">
      <c r="C433" s="647"/>
    </row>
    <row r="434">
      <c r="C434" s="647"/>
    </row>
    <row r="435">
      <c r="C435" s="647"/>
    </row>
    <row r="436">
      <c r="C436" s="647"/>
    </row>
    <row r="437">
      <c r="C437" s="647"/>
    </row>
    <row r="438">
      <c r="C438" s="647"/>
    </row>
    <row r="439">
      <c r="C439" s="647"/>
    </row>
    <row r="440">
      <c r="C440" s="647"/>
    </row>
    <row r="441">
      <c r="C441" s="647"/>
    </row>
    <row r="442">
      <c r="C442" s="647"/>
    </row>
    <row r="443">
      <c r="C443" s="647"/>
    </row>
    <row r="444">
      <c r="C444" s="647"/>
    </row>
    <row r="445">
      <c r="C445" s="647"/>
    </row>
    <row r="446">
      <c r="C446" s="647"/>
    </row>
    <row r="447">
      <c r="C447" s="647"/>
    </row>
    <row r="448">
      <c r="C448" s="647"/>
    </row>
    <row r="449">
      <c r="C449" s="647"/>
    </row>
    <row r="450">
      <c r="C450" s="647"/>
    </row>
    <row r="451">
      <c r="C451" s="647"/>
    </row>
    <row r="452">
      <c r="C452" s="647"/>
    </row>
    <row r="453">
      <c r="C453" s="647"/>
    </row>
    <row r="454">
      <c r="C454" s="647"/>
    </row>
    <row r="455">
      <c r="C455" s="647"/>
    </row>
    <row r="456">
      <c r="C456" s="647"/>
    </row>
    <row r="457">
      <c r="C457" s="647"/>
    </row>
    <row r="458">
      <c r="C458" s="647"/>
    </row>
    <row r="459">
      <c r="C459" s="647"/>
    </row>
    <row r="460">
      <c r="C460" s="647"/>
    </row>
    <row r="461">
      <c r="C461" s="647"/>
    </row>
    <row r="462">
      <c r="C462" s="647"/>
    </row>
    <row r="463">
      <c r="C463" s="647"/>
    </row>
    <row r="464">
      <c r="C464" s="647"/>
    </row>
    <row r="465">
      <c r="C465" s="647"/>
    </row>
    <row r="466">
      <c r="C466" s="647"/>
    </row>
    <row r="467">
      <c r="C467" s="647"/>
    </row>
    <row r="468">
      <c r="C468" s="647"/>
    </row>
    <row r="469">
      <c r="C469" s="647"/>
    </row>
    <row r="470">
      <c r="C470" s="647"/>
    </row>
    <row r="471">
      <c r="C471" s="647"/>
    </row>
    <row r="472">
      <c r="C472" s="647"/>
    </row>
    <row r="473">
      <c r="C473" s="647"/>
    </row>
    <row r="474">
      <c r="C474" s="647"/>
    </row>
    <row r="475">
      <c r="C475" s="647"/>
    </row>
    <row r="476">
      <c r="C476" s="647"/>
    </row>
    <row r="477">
      <c r="C477" s="647"/>
    </row>
    <row r="478">
      <c r="C478" s="647"/>
    </row>
    <row r="479">
      <c r="C479" s="647"/>
    </row>
    <row r="480">
      <c r="C480" s="647"/>
    </row>
    <row r="481">
      <c r="C481" s="647"/>
    </row>
    <row r="482">
      <c r="C482" s="647"/>
    </row>
    <row r="483">
      <c r="C483" s="647"/>
    </row>
    <row r="484">
      <c r="C484" s="647"/>
    </row>
    <row r="485">
      <c r="C485" s="647"/>
    </row>
    <row r="486">
      <c r="C486" s="647"/>
    </row>
    <row r="487">
      <c r="C487" s="647"/>
    </row>
    <row r="488">
      <c r="C488" s="647"/>
    </row>
    <row r="489">
      <c r="C489" s="647"/>
    </row>
    <row r="490">
      <c r="C490" s="647"/>
    </row>
    <row r="491">
      <c r="C491" s="647"/>
    </row>
    <row r="492">
      <c r="C492" s="647"/>
    </row>
    <row r="493">
      <c r="C493" s="647"/>
    </row>
    <row r="494">
      <c r="C494" s="647"/>
    </row>
    <row r="495">
      <c r="C495" s="647"/>
    </row>
    <row r="496">
      <c r="C496" s="647"/>
    </row>
    <row r="497">
      <c r="C497" s="647"/>
    </row>
    <row r="498">
      <c r="C498" s="647"/>
    </row>
    <row r="499">
      <c r="C499" s="647"/>
    </row>
    <row r="500">
      <c r="C500" s="647"/>
    </row>
    <row r="501">
      <c r="C501" s="647"/>
    </row>
    <row r="502">
      <c r="C502" s="647"/>
    </row>
    <row r="503">
      <c r="C503" s="647"/>
    </row>
    <row r="504">
      <c r="C504" s="647"/>
    </row>
    <row r="505">
      <c r="C505" s="647"/>
    </row>
    <row r="506">
      <c r="C506" s="647"/>
    </row>
    <row r="507">
      <c r="C507" s="647"/>
    </row>
    <row r="508">
      <c r="C508" s="647"/>
    </row>
    <row r="509">
      <c r="C509" s="647"/>
    </row>
    <row r="510">
      <c r="C510" s="647"/>
    </row>
    <row r="511">
      <c r="C511" s="647"/>
    </row>
    <row r="512">
      <c r="C512" s="647"/>
    </row>
    <row r="513">
      <c r="C513" s="647"/>
    </row>
    <row r="514">
      <c r="C514" s="647"/>
    </row>
    <row r="515">
      <c r="C515" s="647"/>
    </row>
    <row r="516">
      <c r="C516" s="647"/>
    </row>
    <row r="517">
      <c r="C517" s="647"/>
    </row>
    <row r="518">
      <c r="C518" s="647"/>
    </row>
    <row r="519">
      <c r="C519" s="647"/>
    </row>
    <row r="520">
      <c r="C520" s="647"/>
    </row>
    <row r="521">
      <c r="C521" s="647"/>
    </row>
    <row r="522">
      <c r="C522" s="647"/>
    </row>
    <row r="523">
      <c r="C523" s="647"/>
    </row>
    <row r="524">
      <c r="C524" s="647"/>
    </row>
    <row r="525">
      <c r="C525" s="647"/>
    </row>
    <row r="526">
      <c r="C526" s="647"/>
    </row>
    <row r="527">
      <c r="C527" s="647"/>
    </row>
    <row r="528">
      <c r="C528" s="647"/>
    </row>
    <row r="529">
      <c r="C529" s="647"/>
    </row>
    <row r="530">
      <c r="C530" s="647"/>
    </row>
    <row r="531">
      <c r="C531" s="647"/>
    </row>
    <row r="532">
      <c r="C532" s="647"/>
    </row>
    <row r="533">
      <c r="C533" s="647"/>
    </row>
    <row r="534">
      <c r="C534" s="647"/>
    </row>
    <row r="535">
      <c r="C535" s="647"/>
    </row>
    <row r="536">
      <c r="C536" s="647"/>
    </row>
    <row r="537">
      <c r="C537" s="647"/>
    </row>
    <row r="538">
      <c r="C538" s="647"/>
    </row>
    <row r="539">
      <c r="C539" s="647"/>
    </row>
    <row r="540">
      <c r="C540" s="647"/>
    </row>
    <row r="541">
      <c r="C541" s="647"/>
    </row>
    <row r="542">
      <c r="C542" s="647"/>
    </row>
    <row r="543">
      <c r="C543" s="647"/>
    </row>
    <row r="544">
      <c r="C544" s="647"/>
    </row>
    <row r="545">
      <c r="C545" s="647"/>
    </row>
    <row r="546">
      <c r="C546" s="647"/>
    </row>
    <row r="547">
      <c r="C547" s="647"/>
    </row>
    <row r="548">
      <c r="C548" s="647"/>
    </row>
    <row r="549">
      <c r="C549" s="647"/>
    </row>
    <row r="550">
      <c r="C550" s="647"/>
    </row>
    <row r="551">
      <c r="C551" s="647"/>
    </row>
    <row r="552">
      <c r="C552" s="647"/>
    </row>
    <row r="553">
      <c r="C553" s="647"/>
    </row>
    <row r="554">
      <c r="C554" s="647"/>
    </row>
    <row r="555">
      <c r="C555" s="647"/>
    </row>
    <row r="556">
      <c r="C556" s="647"/>
    </row>
    <row r="557">
      <c r="C557" s="647"/>
    </row>
    <row r="558">
      <c r="C558" s="647"/>
    </row>
    <row r="559">
      <c r="C559" s="647"/>
    </row>
    <row r="560">
      <c r="C560" s="647"/>
    </row>
    <row r="561">
      <c r="C561" s="647"/>
    </row>
    <row r="562">
      <c r="C562" s="647"/>
    </row>
    <row r="563">
      <c r="C563" s="647"/>
    </row>
    <row r="564">
      <c r="C564" s="647"/>
    </row>
    <row r="565">
      <c r="C565" s="647"/>
    </row>
    <row r="566">
      <c r="C566" s="647"/>
    </row>
    <row r="567">
      <c r="C567" s="647"/>
    </row>
    <row r="568">
      <c r="C568" s="647"/>
    </row>
    <row r="569">
      <c r="C569" s="647"/>
    </row>
    <row r="570">
      <c r="C570" s="647"/>
    </row>
    <row r="571">
      <c r="C571" s="647"/>
    </row>
    <row r="572">
      <c r="C572" s="647"/>
    </row>
    <row r="573">
      <c r="C573" s="647"/>
    </row>
    <row r="574">
      <c r="C574" s="647"/>
    </row>
    <row r="575">
      <c r="C575" s="647"/>
    </row>
    <row r="576">
      <c r="C576" s="647"/>
    </row>
    <row r="577">
      <c r="C577" s="647"/>
    </row>
    <row r="578">
      <c r="C578" s="647"/>
    </row>
    <row r="579">
      <c r="C579" s="647"/>
    </row>
    <row r="580">
      <c r="C580" s="647"/>
    </row>
    <row r="581">
      <c r="C581" s="647"/>
    </row>
    <row r="582">
      <c r="C582" s="647"/>
    </row>
    <row r="583">
      <c r="C583" s="647"/>
    </row>
    <row r="584">
      <c r="C584" s="647"/>
    </row>
    <row r="585">
      <c r="C585" s="647"/>
    </row>
    <row r="586">
      <c r="C586" s="647"/>
    </row>
    <row r="587">
      <c r="C587" s="647"/>
    </row>
    <row r="588">
      <c r="C588" s="647"/>
    </row>
    <row r="589">
      <c r="C589" s="647"/>
    </row>
    <row r="590">
      <c r="C590" s="647"/>
    </row>
    <row r="591">
      <c r="C591" s="647"/>
    </row>
    <row r="592">
      <c r="C592" s="647"/>
    </row>
    <row r="593">
      <c r="C593" s="647"/>
    </row>
    <row r="594">
      <c r="C594" s="647"/>
    </row>
    <row r="595">
      <c r="C595" s="647"/>
    </row>
    <row r="596">
      <c r="C596" s="647"/>
    </row>
    <row r="597">
      <c r="C597" s="647"/>
    </row>
    <row r="598">
      <c r="C598" s="647"/>
    </row>
    <row r="599">
      <c r="C599" s="647"/>
    </row>
    <row r="600">
      <c r="C600" s="647"/>
    </row>
    <row r="601">
      <c r="C601" s="647"/>
    </row>
    <row r="602">
      <c r="C602" s="647"/>
    </row>
    <row r="603">
      <c r="C603" s="647"/>
    </row>
    <row r="604">
      <c r="C604" s="647"/>
    </row>
    <row r="605">
      <c r="C605" s="647"/>
    </row>
    <row r="606">
      <c r="C606" s="647"/>
    </row>
    <row r="607">
      <c r="C607" s="647"/>
    </row>
    <row r="608">
      <c r="C608" s="647"/>
    </row>
    <row r="609">
      <c r="C609" s="647"/>
    </row>
    <row r="610">
      <c r="C610" s="647"/>
    </row>
    <row r="611">
      <c r="C611" s="647"/>
    </row>
    <row r="612">
      <c r="C612" s="647"/>
    </row>
    <row r="613">
      <c r="C613" s="647"/>
    </row>
    <row r="614">
      <c r="C614" s="647"/>
    </row>
    <row r="615">
      <c r="C615" s="647"/>
    </row>
    <row r="616">
      <c r="C616" s="647"/>
    </row>
    <row r="617">
      <c r="C617" s="647"/>
    </row>
    <row r="618">
      <c r="C618" s="647"/>
    </row>
    <row r="619">
      <c r="C619" s="647"/>
    </row>
    <row r="620">
      <c r="C620" s="647"/>
    </row>
    <row r="621">
      <c r="C621" s="647"/>
    </row>
    <row r="622">
      <c r="C622" s="647"/>
    </row>
    <row r="623">
      <c r="C623" s="647"/>
    </row>
    <row r="624">
      <c r="C624" s="647"/>
    </row>
    <row r="625">
      <c r="C625" s="647"/>
    </row>
    <row r="626">
      <c r="C626" s="647"/>
    </row>
    <row r="627">
      <c r="C627" s="647"/>
    </row>
    <row r="628">
      <c r="C628" s="647"/>
    </row>
    <row r="629">
      <c r="C629" s="647"/>
    </row>
    <row r="630">
      <c r="C630" s="647"/>
    </row>
    <row r="631">
      <c r="C631" s="647"/>
    </row>
    <row r="632">
      <c r="C632" s="647"/>
    </row>
    <row r="633">
      <c r="C633" s="647"/>
    </row>
    <row r="634">
      <c r="C634" s="647"/>
    </row>
    <row r="635">
      <c r="C635" s="647"/>
    </row>
    <row r="636">
      <c r="C636" s="647"/>
    </row>
    <row r="637">
      <c r="C637" s="647"/>
    </row>
    <row r="638">
      <c r="C638" s="647"/>
    </row>
    <row r="639">
      <c r="C639" s="647"/>
    </row>
    <row r="640">
      <c r="C640" s="647"/>
    </row>
    <row r="641">
      <c r="C641" s="647"/>
    </row>
    <row r="642">
      <c r="C642" s="647"/>
    </row>
    <row r="643">
      <c r="C643" s="647"/>
    </row>
    <row r="644">
      <c r="C644" s="647"/>
    </row>
    <row r="645">
      <c r="C645" s="647"/>
    </row>
    <row r="646">
      <c r="C646" s="647"/>
    </row>
    <row r="647">
      <c r="C647" s="647"/>
    </row>
    <row r="648">
      <c r="C648" s="647"/>
    </row>
    <row r="649">
      <c r="C649" s="647"/>
    </row>
    <row r="650">
      <c r="C650" s="647"/>
    </row>
    <row r="651">
      <c r="C651" s="647"/>
    </row>
    <row r="652">
      <c r="C652" s="647"/>
    </row>
    <row r="653">
      <c r="C653" s="647"/>
    </row>
    <row r="654">
      <c r="C654" s="647"/>
    </row>
    <row r="655">
      <c r="C655" s="647"/>
    </row>
    <row r="656">
      <c r="C656" s="647"/>
    </row>
    <row r="657">
      <c r="C657" s="647"/>
    </row>
    <row r="658">
      <c r="C658" s="647"/>
    </row>
    <row r="659">
      <c r="C659" s="647"/>
    </row>
    <row r="660">
      <c r="C660" s="647"/>
    </row>
    <row r="661">
      <c r="C661" s="647"/>
    </row>
    <row r="662">
      <c r="C662" s="647"/>
    </row>
    <row r="663">
      <c r="C663" s="647"/>
    </row>
    <row r="664">
      <c r="C664" s="647"/>
    </row>
    <row r="665">
      <c r="C665" s="647"/>
    </row>
    <row r="666">
      <c r="C666" s="647"/>
    </row>
    <row r="667">
      <c r="C667" s="647"/>
    </row>
    <row r="668">
      <c r="C668" s="647"/>
    </row>
    <row r="669">
      <c r="C669" s="647"/>
    </row>
    <row r="670">
      <c r="C670" s="647"/>
    </row>
    <row r="671">
      <c r="C671" s="647"/>
    </row>
    <row r="672">
      <c r="C672" s="647"/>
    </row>
    <row r="673">
      <c r="C673" s="647"/>
    </row>
    <row r="674">
      <c r="C674" s="647"/>
    </row>
    <row r="675">
      <c r="C675" s="647"/>
    </row>
    <row r="676">
      <c r="C676" s="647"/>
    </row>
    <row r="677">
      <c r="C677" s="647"/>
    </row>
    <row r="678">
      <c r="C678" s="647"/>
    </row>
    <row r="679">
      <c r="C679" s="647"/>
    </row>
    <row r="680">
      <c r="C680" s="647"/>
    </row>
    <row r="681">
      <c r="C681" s="647"/>
    </row>
    <row r="682">
      <c r="C682" s="647"/>
    </row>
    <row r="683">
      <c r="C683" s="647"/>
    </row>
    <row r="684">
      <c r="C684" s="647"/>
    </row>
    <row r="685">
      <c r="C685" s="647"/>
    </row>
    <row r="686">
      <c r="C686" s="647"/>
    </row>
    <row r="687">
      <c r="C687" s="647"/>
    </row>
    <row r="688">
      <c r="C688" s="647"/>
    </row>
    <row r="689">
      <c r="C689" s="647"/>
    </row>
    <row r="690">
      <c r="C690" s="647"/>
    </row>
    <row r="691">
      <c r="C691" s="647"/>
    </row>
    <row r="692">
      <c r="C692" s="647"/>
    </row>
    <row r="693">
      <c r="C693" s="647"/>
    </row>
    <row r="694">
      <c r="C694" s="647"/>
    </row>
    <row r="695">
      <c r="C695" s="647"/>
    </row>
    <row r="696">
      <c r="C696" s="647"/>
    </row>
    <row r="697">
      <c r="C697" s="647"/>
    </row>
    <row r="698">
      <c r="C698" s="647"/>
    </row>
    <row r="699">
      <c r="C699" s="647"/>
    </row>
    <row r="700">
      <c r="C700" s="647"/>
    </row>
    <row r="701">
      <c r="C701" s="647"/>
    </row>
    <row r="702">
      <c r="C702" s="647"/>
    </row>
    <row r="703">
      <c r="C703" s="647"/>
    </row>
    <row r="704">
      <c r="C704" s="647"/>
    </row>
    <row r="705">
      <c r="C705" s="647"/>
    </row>
    <row r="706">
      <c r="C706" s="647"/>
    </row>
    <row r="707">
      <c r="C707" s="647"/>
    </row>
    <row r="708">
      <c r="C708" s="647"/>
    </row>
    <row r="709">
      <c r="C709" s="647"/>
    </row>
    <row r="710">
      <c r="C710" s="647"/>
    </row>
    <row r="711">
      <c r="C711" s="647"/>
    </row>
    <row r="712">
      <c r="C712" s="647"/>
    </row>
    <row r="713">
      <c r="C713" s="647"/>
    </row>
    <row r="714">
      <c r="C714" s="647"/>
    </row>
    <row r="715">
      <c r="C715" s="647"/>
    </row>
    <row r="716">
      <c r="C716" s="647"/>
    </row>
    <row r="717">
      <c r="C717" s="647"/>
    </row>
    <row r="718">
      <c r="C718" s="647"/>
    </row>
    <row r="719">
      <c r="C719" s="647"/>
    </row>
    <row r="720">
      <c r="C720" s="647"/>
    </row>
    <row r="721">
      <c r="C721" s="647"/>
    </row>
    <row r="722">
      <c r="C722" s="647"/>
    </row>
    <row r="723">
      <c r="C723" s="647"/>
    </row>
    <row r="724">
      <c r="C724" s="647"/>
    </row>
    <row r="725">
      <c r="C725" s="647"/>
    </row>
    <row r="726">
      <c r="C726" s="647"/>
    </row>
    <row r="727">
      <c r="C727" s="647"/>
    </row>
    <row r="728">
      <c r="C728" s="647"/>
    </row>
    <row r="729">
      <c r="C729" s="647"/>
    </row>
    <row r="730">
      <c r="C730" s="647"/>
    </row>
    <row r="731">
      <c r="C731" s="647"/>
    </row>
    <row r="732">
      <c r="C732" s="647"/>
    </row>
    <row r="733">
      <c r="C733" s="647"/>
    </row>
    <row r="734">
      <c r="C734" s="647"/>
    </row>
    <row r="735">
      <c r="C735" s="647"/>
    </row>
    <row r="736">
      <c r="C736" s="647"/>
    </row>
    <row r="737">
      <c r="C737" s="647"/>
    </row>
    <row r="738">
      <c r="C738" s="647"/>
    </row>
    <row r="739">
      <c r="C739" s="647"/>
    </row>
    <row r="740">
      <c r="C740" s="647"/>
    </row>
    <row r="741">
      <c r="C741" s="647"/>
    </row>
    <row r="742">
      <c r="C742" s="647"/>
    </row>
    <row r="743">
      <c r="C743" s="647"/>
    </row>
    <row r="744">
      <c r="C744" s="647"/>
    </row>
    <row r="745">
      <c r="C745" s="647"/>
    </row>
    <row r="746">
      <c r="C746" s="647"/>
    </row>
    <row r="747">
      <c r="C747" s="647"/>
    </row>
    <row r="748">
      <c r="C748" s="647"/>
    </row>
    <row r="749">
      <c r="C749" s="647"/>
    </row>
    <row r="750">
      <c r="C750" s="647"/>
    </row>
    <row r="751">
      <c r="C751" s="647"/>
    </row>
    <row r="752">
      <c r="C752" s="647"/>
    </row>
    <row r="753">
      <c r="C753" s="647"/>
    </row>
    <row r="754">
      <c r="C754" s="647"/>
    </row>
    <row r="755">
      <c r="C755" s="647"/>
    </row>
    <row r="756">
      <c r="C756" s="647"/>
    </row>
    <row r="757">
      <c r="C757" s="647"/>
    </row>
    <row r="758">
      <c r="C758" s="647"/>
    </row>
    <row r="759">
      <c r="C759" s="647"/>
    </row>
    <row r="760">
      <c r="C760" s="647"/>
    </row>
    <row r="761">
      <c r="C761" s="647"/>
    </row>
    <row r="762">
      <c r="C762" s="647"/>
    </row>
    <row r="763">
      <c r="C763" s="647"/>
    </row>
    <row r="764">
      <c r="C764" s="647"/>
    </row>
    <row r="765">
      <c r="C765" s="647"/>
    </row>
    <row r="766">
      <c r="C766" s="647"/>
    </row>
    <row r="767">
      <c r="C767" s="647"/>
    </row>
    <row r="768">
      <c r="C768" s="647"/>
    </row>
    <row r="769">
      <c r="C769" s="647"/>
    </row>
    <row r="770">
      <c r="C770" s="647"/>
    </row>
    <row r="771">
      <c r="C771" s="647"/>
    </row>
    <row r="772">
      <c r="C772" s="647"/>
    </row>
    <row r="773">
      <c r="C773" s="647"/>
    </row>
    <row r="774">
      <c r="C774" s="647"/>
    </row>
    <row r="775">
      <c r="C775" s="647"/>
    </row>
    <row r="776">
      <c r="C776" s="647"/>
    </row>
    <row r="777">
      <c r="C777" s="647"/>
    </row>
    <row r="778">
      <c r="C778" s="647"/>
    </row>
    <row r="779">
      <c r="C779" s="647"/>
    </row>
    <row r="780">
      <c r="C780" s="647"/>
    </row>
    <row r="781">
      <c r="C781" s="647"/>
    </row>
    <row r="782">
      <c r="C782" s="647"/>
    </row>
    <row r="783">
      <c r="C783" s="647"/>
    </row>
    <row r="784">
      <c r="C784" s="647"/>
    </row>
    <row r="785">
      <c r="C785" s="647"/>
    </row>
    <row r="786">
      <c r="C786" s="647"/>
    </row>
    <row r="787">
      <c r="C787" s="647"/>
    </row>
    <row r="788">
      <c r="C788" s="647"/>
    </row>
    <row r="789">
      <c r="C789" s="647"/>
    </row>
    <row r="790">
      <c r="C790" s="647"/>
    </row>
    <row r="791">
      <c r="C791" s="647"/>
    </row>
    <row r="792">
      <c r="C792" s="647"/>
    </row>
    <row r="793">
      <c r="C793" s="647"/>
    </row>
    <row r="794">
      <c r="C794" s="647"/>
    </row>
    <row r="795">
      <c r="C795" s="647"/>
    </row>
    <row r="796">
      <c r="C796" s="647"/>
    </row>
    <row r="797">
      <c r="C797" s="647"/>
    </row>
    <row r="798">
      <c r="C798" s="647"/>
    </row>
    <row r="799">
      <c r="C799" s="647"/>
    </row>
    <row r="800">
      <c r="C800" s="647"/>
    </row>
    <row r="801">
      <c r="C801" s="647"/>
    </row>
    <row r="802">
      <c r="C802" s="647"/>
    </row>
    <row r="803">
      <c r="C803" s="647"/>
    </row>
    <row r="804">
      <c r="C804" s="647"/>
    </row>
    <row r="805">
      <c r="C805" s="647"/>
    </row>
    <row r="806">
      <c r="C806" s="647"/>
    </row>
    <row r="807">
      <c r="C807" s="647"/>
    </row>
    <row r="808">
      <c r="C808" s="647"/>
    </row>
    <row r="809">
      <c r="C809" s="647"/>
    </row>
    <row r="810">
      <c r="C810" s="647"/>
    </row>
    <row r="811">
      <c r="C811" s="647"/>
    </row>
    <row r="812">
      <c r="C812" s="647"/>
    </row>
    <row r="813">
      <c r="C813" s="647"/>
    </row>
    <row r="814">
      <c r="C814" s="647"/>
    </row>
    <row r="815">
      <c r="C815" s="647"/>
    </row>
    <row r="816">
      <c r="C816" s="647"/>
    </row>
    <row r="817">
      <c r="C817" s="647"/>
    </row>
    <row r="818">
      <c r="C818" s="647"/>
    </row>
    <row r="819">
      <c r="C819" s="647"/>
    </row>
    <row r="820">
      <c r="C820" s="647"/>
    </row>
    <row r="821">
      <c r="C821" s="647"/>
    </row>
    <row r="822">
      <c r="C822" s="647"/>
    </row>
    <row r="823">
      <c r="C823" s="647"/>
    </row>
    <row r="824">
      <c r="C824" s="647"/>
    </row>
    <row r="825">
      <c r="C825" s="647"/>
    </row>
    <row r="826">
      <c r="C826" s="647"/>
    </row>
    <row r="827">
      <c r="C827" s="647"/>
    </row>
    <row r="828">
      <c r="C828" s="647"/>
    </row>
    <row r="829">
      <c r="C829" s="647"/>
    </row>
    <row r="830">
      <c r="C830" s="647"/>
    </row>
    <row r="831">
      <c r="C831" s="647"/>
    </row>
    <row r="832">
      <c r="C832" s="647"/>
    </row>
    <row r="833">
      <c r="C833" s="647"/>
    </row>
    <row r="834">
      <c r="C834" s="647"/>
    </row>
    <row r="835">
      <c r="C835" s="647"/>
    </row>
    <row r="836">
      <c r="C836" s="647"/>
    </row>
    <row r="837">
      <c r="C837" s="647"/>
    </row>
    <row r="838">
      <c r="C838" s="647"/>
    </row>
    <row r="839">
      <c r="C839" s="647"/>
    </row>
    <row r="840">
      <c r="C840" s="647"/>
    </row>
    <row r="841">
      <c r="C841" s="647"/>
    </row>
    <row r="842">
      <c r="C842" s="647"/>
    </row>
    <row r="843">
      <c r="C843" s="647"/>
    </row>
    <row r="844">
      <c r="C844" s="647"/>
    </row>
    <row r="845">
      <c r="C845" s="647"/>
    </row>
    <row r="846">
      <c r="C846" s="647"/>
    </row>
    <row r="847">
      <c r="C847" s="647"/>
    </row>
    <row r="848">
      <c r="C848" s="647"/>
    </row>
    <row r="849">
      <c r="C849" s="647"/>
    </row>
    <row r="850">
      <c r="C850" s="647"/>
    </row>
    <row r="851">
      <c r="C851" s="647"/>
    </row>
    <row r="852">
      <c r="C852" s="647"/>
    </row>
    <row r="853">
      <c r="C853" s="647"/>
    </row>
    <row r="854">
      <c r="C854" s="647"/>
    </row>
    <row r="855">
      <c r="C855" s="647"/>
    </row>
    <row r="856">
      <c r="C856" s="647"/>
    </row>
    <row r="857">
      <c r="C857" s="647"/>
    </row>
    <row r="858">
      <c r="C858" s="647"/>
    </row>
    <row r="859">
      <c r="C859" s="647"/>
    </row>
    <row r="860">
      <c r="C860" s="647"/>
    </row>
    <row r="861">
      <c r="C861" s="647"/>
    </row>
    <row r="862">
      <c r="C862" s="647"/>
    </row>
    <row r="863">
      <c r="C863" s="647"/>
    </row>
    <row r="864">
      <c r="C864" s="647"/>
    </row>
    <row r="865">
      <c r="C865" s="647"/>
    </row>
    <row r="866">
      <c r="C866" s="647"/>
    </row>
    <row r="867">
      <c r="C867" s="647"/>
    </row>
    <row r="868">
      <c r="C868" s="647"/>
    </row>
    <row r="869">
      <c r="C869" s="647"/>
    </row>
    <row r="870">
      <c r="C870" s="647"/>
    </row>
    <row r="871">
      <c r="C871" s="647"/>
    </row>
    <row r="872">
      <c r="C872" s="647"/>
    </row>
    <row r="873">
      <c r="C873" s="647"/>
    </row>
    <row r="874">
      <c r="C874" s="647"/>
    </row>
    <row r="875">
      <c r="C875" s="647"/>
    </row>
    <row r="876">
      <c r="C876" s="647"/>
    </row>
    <row r="877">
      <c r="C877" s="647"/>
    </row>
    <row r="878">
      <c r="C878" s="647"/>
    </row>
    <row r="879">
      <c r="C879" s="647"/>
    </row>
    <row r="880">
      <c r="C880" s="647"/>
    </row>
    <row r="881">
      <c r="C881" s="647"/>
    </row>
    <row r="882">
      <c r="C882" s="647"/>
    </row>
    <row r="883">
      <c r="C883" s="647"/>
    </row>
    <row r="884">
      <c r="C884" s="647"/>
    </row>
    <row r="885">
      <c r="C885" s="647"/>
    </row>
    <row r="886">
      <c r="C886" s="647"/>
    </row>
    <row r="887">
      <c r="C887" s="647"/>
    </row>
    <row r="888">
      <c r="C888" s="647"/>
    </row>
    <row r="889">
      <c r="C889" s="647"/>
    </row>
    <row r="890">
      <c r="C890" s="647"/>
    </row>
    <row r="891">
      <c r="C891" s="647"/>
    </row>
    <row r="892">
      <c r="C892" s="647"/>
    </row>
    <row r="893">
      <c r="C893" s="647"/>
    </row>
    <row r="894">
      <c r="C894" s="647"/>
    </row>
    <row r="895">
      <c r="C895" s="647"/>
    </row>
    <row r="896">
      <c r="C896" s="647"/>
    </row>
    <row r="897">
      <c r="C897" s="647"/>
    </row>
    <row r="898">
      <c r="C898" s="647"/>
    </row>
    <row r="899">
      <c r="C899" s="647"/>
    </row>
    <row r="900">
      <c r="C900" s="647"/>
    </row>
    <row r="901">
      <c r="C901" s="647"/>
    </row>
    <row r="902">
      <c r="C902" s="647"/>
    </row>
    <row r="903">
      <c r="C903" s="647"/>
    </row>
    <row r="904">
      <c r="C904" s="647"/>
    </row>
    <row r="905">
      <c r="C905" s="647"/>
    </row>
    <row r="906">
      <c r="C906" s="647"/>
    </row>
    <row r="907">
      <c r="C907" s="647"/>
    </row>
    <row r="908">
      <c r="C908" s="647"/>
    </row>
    <row r="909">
      <c r="C909" s="647"/>
    </row>
    <row r="910">
      <c r="C910" s="647"/>
    </row>
    <row r="911">
      <c r="C911" s="647"/>
    </row>
    <row r="912">
      <c r="C912" s="647"/>
    </row>
    <row r="913">
      <c r="C913" s="647"/>
    </row>
    <row r="914">
      <c r="C914" s="647"/>
    </row>
    <row r="915">
      <c r="C915" s="647"/>
    </row>
    <row r="916">
      <c r="C916" s="647"/>
    </row>
    <row r="917">
      <c r="C917" s="647"/>
    </row>
    <row r="918">
      <c r="C918" s="647"/>
    </row>
    <row r="919">
      <c r="C919" s="647"/>
    </row>
    <row r="920">
      <c r="C920" s="647"/>
    </row>
    <row r="921">
      <c r="C921" s="647"/>
    </row>
    <row r="922">
      <c r="C922" s="647"/>
    </row>
    <row r="923">
      <c r="C923" s="647"/>
    </row>
    <row r="924">
      <c r="C924" s="647"/>
    </row>
    <row r="925">
      <c r="C925" s="647"/>
    </row>
    <row r="926">
      <c r="C926" s="647"/>
    </row>
    <row r="927">
      <c r="C927" s="647"/>
    </row>
    <row r="928">
      <c r="C928" s="647"/>
    </row>
    <row r="929">
      <c r="C929" s="647"/>
    </row>
    <row r="930">
      <c r="C930" s="647"/>
    </row>
    <row r="931">
      <c r="C931" s="647"/>
    </row>
    <row r="932">
      <c r="C932" s="647"/>
    </row>
    <row r="933">
      <c r="C933" s="647"/>
    </row>
    <row r="934">
      <c r="C934" s="647"/>
    </row>
    <row r="935">
      <c r="C935" s="647"/>
    </row>
    <row r="936">
      <c r="C936" s="647"/>
    </row>
    <row r="937">
      <c r="C937" s="647"/>
    </row>
    <row r="938">
      <c r="C938" s="647"/>
    </row>
    <row r="939">
      <c r="C939" s="647"/>
    </row>
    <row r="940">
      <c r="C940" s="647"/>
    </row>
    <row r="941">
      <c r="C941" s="647"/>
    </row>
    <row r="942">
      <c r="C942" s="647"/>
    </row>
    <row r="943">
      <c r="C943" s="647"/>
    </row>
    <row r="944">
      <c r="C944" s="647"/>
    </row>
    <row r="945">
      <c r="C945" s="647"/>
    </row>
    <row r="946">
      <c r="C946" s="647"/>
    </row>
    <row r="947">
      <c r="C947" s="647"/>
    </row>
    <row r="948">
      <c r="C948" s="647"/>
    </row>
    <row r="949">
      <c r="C949" s="647"/>
    </row>
    <row r="950">
      <c r="C950" s="647"/>
    </row>
    <row r="951">
      <c r="C951" s="647"/>
    </row>
    <row r="952">
      <c r="C952" s="647"/>
    </row>
    <row r="953">
      <c r="C953" s="647"/>
    </row>
    <row r="954">
      <c r="C954" s="647"/>
    </row>
    <row r="955">
      <c r="C955" s="647"/>
    </row>
    <row r="956">
      <c r="C956" s="647"/>
    </row>
    <row r="957">
      <c r="C957" s="647"/>
    </row>
    <row r="958">
      <c r="C958" s="647"/>
    </row>
    <row r="959">
      <c r="C959" s="647"/>
    </row>
    <row r="960">
      <c r="C960" s="647"/>
    </row>
    <row r="961">
      <c r="C961" s="647"/>
    </row>
    <row r="962">
      <c r="C962" s="647"/>
    </row>
    <row r="963">
      <c r="C963" s="647"/>
    </row>
    <row r="964">
      <c r="C964" s="647"/>
    </row>
    <row r="965">
      <c r="C965" s="647"/>
    </row>
    <row r="966">
      <c r="C966" s="647"/>
    </row>
    <row r="967">
      <c r="C967" s="647"/>
    </row>
    <row r="968">
      <c r="C968" s="647"/>
    </row>
    <row r="969">
      <c r="C969" s="647"/>
    </row>
    <row r="970">
      <c r="C970" s="647"/>
    </row>
    <row r="971">
      <c r="C971" s="647"/>
    </row>
    <row r="972">
      <c r="C972" s="647"/>
    </row>
    <row r="973">
      <c r="C973" s="647"/>
    </row>
    <row r="974">
      <c r="C974" s="647"/>
    </row>
    <row r="975">
      <c r="C975" s="647"/>
    </row>
    <row r="976">
      <c r="C976" s="647"/>
    </row>
    <row r="977">
      <c r="C977" s="647"/>
    </row>
    <row r="978">
      <c r="C978" s="647"/>
    </row>
    <row r="979">
      <c r="C979" s="647"/>
    </row>
    <row r="980">
      <c r="C980" s="647"/>
    </row>
    <row r="981">
      <c r="C981" s="647"/>
    </row>
    <row r="982">
      <c r="C982" s="647"/>
    </row>
    <row r="983">
      <c r="C983" s="647"/>
    </row>
    <row r="984">
      <c r="C984" s="647"/>
    </row>
    <row r="985">
      <c r="C985" s="647"/>
    </row>
    <row r="986">
      <c r="C986" s="647"/>
    </row>
    <row r="987">
      <c r="C987" s="647"/>
    </row>
    <row r="988">
      <c r="C988" s="647"/>
    </row>
    <row r="989">
      <c r="C989" s="647"/>
    </row>
    <row r="990">
      <c r="C990" s="647"/>
    </row>
    <row r="991">
      <c r="C991" s="647"/>
    </row>
    <row r="992">
      <c r="C992" s="647"/>
    </row>
    <row r="993">
      <c r="C993" s="647"/>
    </row>
    <row r="994">
      <c r="C994" s="647"/>
    </row>
    <row r="995">
      <c r="C995" s="647"/>
    </row>
    <row r="996">
      <c r="C996" s="647"/>
    </row>
    <row r="997">
      <c r="C997" s="647"/>
    </row>
    <row r="998">
      <c r="C998" s="647"/>
    </row>
    <row r="999">
      <c r="C999" s="647"/>
    </row>
    <row r="1000">
      <c r="C1000" s="647"/>
    </row>
    <row r="1001">
      <c r="C1001" s="647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9.14"/>
    <col customWidth="1" min="3" max="3" width="10.86"/>
    <col customWidth="1" min="4" max="4" width="7.14"/>
    <col customWidth="1" min="5" max="5" width="8.0"/>
    <col customWidth="1" min="6" max="6" width="6.14"/>
    <col customWidth="1" min="7" max="7" width="25.14"/>
    <col customWidth="1" min="8" max="8" width="9.14"/>
    <col customWidth="1" min="9" max="9" width="6.14"/>
    <col customWidth="1" min="10" max="10" width="8.86"/>
    <col customWidth="1" min="11" max="11" width="15.71"/>
    <col customWidth="1" min="12" max="12" width="15.57"/>
    <col customWidth="1" min="13" max="13" width="12.57"/>
    <col customWidth="1" min="14" max="14" width="13.0"/>
    <col customWidth="1" min="15" max="15" width="8.71"/>
    <col customWidth="1" min="16" max="16" width="9.29"/>
    <col customWidth="1" min="17" max="17" width="14.71"/>
    <col customWidth="1" min="18" max="18" width="14.43"/>
    <col customWidth="1" min="19" max="19" width="7.14"/>
    <col customWidth="1" min="20" max="20" width="11.0"/>
    <col customWidth="1" min="21" max="32" width="9.29"/>
    <col customWidth="1" min="34" max="34" width="13.14"/>
    <col customWidth="1" min="35" max="35" width="14.0"/>
  </cols>
  <sheetData>
    <row r="1" ht="25.5" customHeight="1">
      <c r="A1" s="725"/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  <c r="Y1" s="725"/>
      <c r="Z1" s="725"/>
      <c r="AA1" s="725"/>
      <c r="AB1" s="725"/>
      <c r="AC1" s="725"/>
      <c r="AD1" s="725"/>
      <c r="AE1" s="725"/>
      <c r="AF1" s="725"/>
      <c r="AG1" s="725"/>
      <c r="AH1" s="725"/>
      <c r="AI1" s="725"/>
      <c r="AJ1" s="725"/>
      <c r="AK1" s="725"/>
      <c r="AL1" s="725"/>
      <c r="AM1" s="725"/>
    </row>
    <row r="2" ht="25.5" customHeight="1">
      <c r="A2" s="725"/>
      <c r="B2" s="726" t="s">
        <v>199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725"/>
      <c r="T2" s="725"/>
      <c r="U2" s="725"/>
      <c r="V2" s="725"/>
      <c r="W2" s="725"/>
      <c r="X2" s="725"/>
      <c r="Y2" s="725"/>
      <c r="Z2" s="725"/>
      <c r="AA2" s="725"/>
      <c r="AB2" s="725"/>
      <c r="AC2" s="725"/>
      <c r="AD2" s="725"/>
      <c r="AE2" s="725"/>
      <c r="AF2" s="725"/>
      <c r="AG2" s="725"/>
      <c r="AH2" s="725"/>
      <c r="AI2" s="725"/>
      <c r="AJ2" s="725"/>
      <c r="AK2" s="725"/>
      <c r="AL2" s="725"/>
      <c r="AM2" s="725"/>
    </row>
    <row r="3" ht="25.5" customHeight="1">
      <c r="A3" s="725"/>
      <c r="B3" s="727" t="s">
        <v>200</v>
      </c>
      <c r="S3" s="725"/>
      <c r="T3" s="725"/>
      <c r="U3" s="725"/>
      <c r="V3" s="725"/>
      <c r="W3" s="725"/>
      <c r="X3" s="725"/>
      <c r="Y3" s="725"/>
      <c r="Z3" s="725"/>
      <c r="AA3" s="725"/>
      <c r="AB3" s="725"/>
      <c r="AC3" s="725"/>
      <c r="AD3" s="725"/>
      <c r="AE3" s="725"/>
      <c r="AF3" s="725"/>
      <c r="AG3" s="725"/>
      <c r="AH3" s="725"/>
      <c r="AI3" s="725"/>
      <c r="AJ3" s="725"/>
      <c r="AK3" s="725"/>
      <c r="AL3" s="725"/>
      <c r="AM3" s="725"/>
    </row>
    <row r="4">
      <c r="A4" s="725"/>
      <c r="B4" s="728" t="s">
        <v>154</v>
      </c>
      <c r="C4" s="729" t="s">
        <v>201</v>
      </c>
      <c r="D4" s="729" t="s">
        <v>202</v>
      </c>
      <c r="E4" s="729" t="s">
        <v>156</v>
      </c>
      <c r="F4" s="730"/>
      <c r="G4" s="729" t="s">
        <v>153</v>
      </c>
      <c r="H4" s="729" t="s">
        <v>203</v>
      </c>
      <c r="I4" s="731" t="s">
        <v>204</v>
      </c>
      <c r="J4" s="731" t="s">
        <v>205</v>
      </c>
      <c r="K4" s="732" t="s">
        <v>206</v>
      </c>
      <c r="L4" s="732" t="s">
        <v>207</v>
      </c>
      <c r="M4" s="732" t="s">
        <v>208</v>
      </c>
      <c r="N4" s="732" t="s">
        <v>209</v>
      </c>
      <c r="O4" s="733" t="s">
        <v>210</v>
      </c>
      <c r="P4" s="733" t="s">
        <v>211</v>
      </c>
      <c r="Q4" s="732" t="s">
        <v>212</v>
      </c>
      <c r="R4" s="732" t="s">
        <v>213</v>
      </c>
      <c r="S4" s="725"/>
      <c r="T4" s="725"/>
      <c r="U4" s="725"/>
      <c r="V4" s="725"/>
      <c r="W4" s="725"/>
      <c r="X4" s="725"/>
      <c r="Y4" s="725"/>
      <c r="Z4" s="725"/>
      <c r="AA4" s="725"/>
      <c r="AB4" s="725"/>
      <c r="AC4" s="725"/>
      <c r="AD4" s="725"/>
      <c r="AE4" s="725"/>
      <c r="AF4" s="725"/>
      <c r="AG4" s="725"/>
      <c r="AH4" s="725"/>
      <c r="AI4" s="725"/>
      <c r="AJ4" s="725"/>
      <c r="AK4" s="725"/>
      <c r="AL4" s="725"/>
      <c r="AM4" s="725"/>
    </row>
    <row r="5">
      <c r="A5" s="725"/>
      <c r="B5" s="734" t="s">
        <v>214</v>
      </c>
      <c r="C5" s="735" t="s">
        <v>215</v>
      </c>
      <c r="D5" s="735" t="s">
        <v>216</v>
      </c>
      <c r="E5" s="735" t="str">
        <f>IFERROR(__xludf.DUMMYFUNCTION("IF(ISBLANK(H5), ""-"", GOOGLEFINANCE(IF(ISBLANK(C5), H5, C5&amp;"":""&amp;H5), ""currency""))"),"USD")</f>
        <v>USD</v>
      </c>
      <c r="F5" s="736"/>
      <c r="G5" s="735" t="s">
        <v>217</v>
      </c>
      <c r="H5" s="737" t="s">
        <v>218</v>
      </c>
      <c r="I5" s="738">
        <v>4.18680546</v>
      </c>
      <c r="J5" s="738" t="s">
        <v>177</v>
      </c>
      <c r="K5" s="739">
        <f>(4.058092893* 179.96+0.128712567*186.24)</f>
        <v>754.2658255</v>
      </c>
      <c r="L5" s="740">
        <f>K5*E18</f>
        <v>655.0119855</v>
      </c>
      <c r="M5" s="740">
        <f t="shared" ref="M5:M8" si="1">I5*Q5</f>
        <v>1212.306043</v>
      </c>
      <c r="N5" s="739">
        <f t="shared" ref="N5:N8" si="2">I5*R5</f>
        <v>1396.006545</v>
      </c>
      <c r="O5" s="741">
        <f t="shared" ref="O5:O13" si="3">if(K5=0,0,(N5-K5)/K5)</f>
        <v>0.850815054</v>
      </c>
      <c r="P5" s="741">
        <f>M5/($I17)</f>
        <v>0.1931443174</v>
      </c>
      <c r="Q5" s="742">
        <f>IFERROR(__xludf.DUMMYFUNCTION("if(E5 = ""USD"",R5*GoogleFinance(""CURRENCY:USDEUR""),GOOGLEFINANCE(IF(ISBLANK(C5), H5, C5&amp;"":""&amp;H5), ""Price""))"),289.5539463)</f>
        <v>289.5539463</v>
      </c>
      <c r="R5" s="743">
        <f>IFERROR(__xludf.DUMMYFUNCTION("if(E5 = ""USD"",GOOGLEFINANCE(IF(ISBLANK(C5), H5, C5&amp;"":""&amp;H5), ""Price""),Q5*GoogleFinance(""CURRENCY:EURUSD""))"),333.43)</f>
        <v>333.43</v>
      </c>
      <c r="S5" s="725"/>
      <c r="T5" s="725"/>
      <c r="U5" s="725"/>
      <c r="V5" s="725"/>
      <c r="W5" s="725"/>
      <c r="X5" s="725"/>
      <c r="Y5" s="725"/>
      <c r="Z5" s="744"/>
      <c r="AA5" s="725"/>
      <c r="AB5" s="725"/>
      <c r="AC5" s="725"/>
      <c r="AD5" s="725"/>
      <c r="AE5" s="725"/>
      <c r="AF5" s="725"/>
      <c r="AG5" s="725"/>
      <c r="AH5" s="725"/>
      <c r="AI5" s="725"/>
      <c r="AJ5" s="725"/>
      <c r="AK5" s="725"/>
      <c r="AL5" s="725"/>
      <c r="AM5" s="725"/>
    </row>
    <row r="6">
      <c r="A6" s="725"/>
      <c r="B6" s="745" t="s">
        <v>214</v>
      </c>
      <c r="C6" s="746" t="s">
        <v>215</v>
      </c>
      <c r="D6" s="746" t="s">
        <v>216</v>
      </c>
      <c r="E6" s="735" t="str">
        <f>IFERROR(__xludf.DUMMYFUNCTION("IF(ISBLANK(H6), ""-"", GOOGLEFINANCE(IF(ISBLANK(C6), H6, C6&amp;"":""&amp;H6), ""currency""))"),"USD")</f>
        <v>USD</v>
      </c>
      <c r="F6" s="747"/>
      <c r="G6" s="746" t="s">
        <v>219</v>
      </c>
      <c r="H6" s="748" t="s">
        <v>220</v>
      </c>
      <c r="I6" s="749">
        <v>0.978021304</v>
      </c>
      <c r="J6" s="749" t="s">
        <v>177</v>
      </c>
      <c r="K6" s="750">
        <f>(0.099779546*660.46 + 0.878241758*682.5)</f>
        <v>665.3003988</v>
      </c>
      <c r="L6" s="751">
        <f>K6*E18</f>
        <v>577.7535193</v>
      </c>
      <c r="M6" s="751">
        <f t="shared" si="1"/>
        <v>165.6520517</v>
      </c>
      <c r="N6" s="739">
        <f t="shared" si="2"/>
        <v>190.7532751</v>
      </c>
      <c r="O6" s="741">
        <f t="shared" si="3"/>
        <v>-0.7132824879</v>
      </c>
      <c r="P6" s="752">
        <f>M6/I17</f>
        <v>0.02639164642</v>
      </c>
      <c r="Q6" s="742">
        <f>IFERROR(__xludf.DUMMYFUNCTION("if(E6 = ""USD"",R6*GoogleFinance(""CURRENCY:USDEUR""),GOOGLEFINANCE(IF(ISBLANK(C6), H6, C6&amp;"":""&amp;H6), ""Price""))"),169.3746864)</f>
        <v>169.3746864</v>
      </c>
      <c r="R6" s="743">
        <f>IFERROR(__xludf.DUMMYFUNCTION("if(E6 = ""USD"",GOOGLEFINANCE(IF(ISBLANK(C6), H6, C6&amp;"":""&amp;H6), ""Price""),Q6*GoogleFinance(""CURRENCY:EURUSD""))"),195.04)</f>
        <v>195.04</v>
      </c>
      <c r="S6" s="725"/>
      <c r="T6" s="725"/>
      <c r="U6" s="725"/>
      <c r="V6" s="725"/>
      <c r="W6" s="725"/>
      <c r="X6" s="725"/>
      <c r="Y6" s="725"/>
      <c r="Z6" s="744"/>
      <c r="AA6" s="725"/>
      <c r="AB6" s="725"/>
      <c r="AC6" s="725"/>
      <c r="AD6" s="725"/>
      <c r="AE6" s="725"/>
      <c r="AF6" s="725"/>
      <c r="AG6" s="725"/>
      <c r="AH6" s="725"/>
      <c r="AI6" s="725"/>
      <c r="AJ6" s="725"/>
      <c r="AK6" s="725"/>
      <c r="AL6" s="725"/>
      <c r="AM6" s="725"/>
    </row>
    <row r="7">
      <c r="A7" s="725"/>
      <c r="B7" s="745" t="s">
        <v>214</v>
      </c>
      <c r="C7" s="746" t="s">
        <v>221</v>
      </c>
      <c r="D7" s="746" t="s">
        <v>222</v>
      </c>
      <c r="E7" s="735" t="str">
        <f>IFERROR(__xludf.DUMMYFUNCTION("IF(ISBLANK(H7), ""-"", GOOGLEFINANCE(IF(ISBLANK(C7), H7, C7&amp;"":""&amp;H7), ""currency""))"),"USD")</f>
        <v>USD</v>
      </c>
      <c r="F7" s="747"/>
      <c r="G7" s="746" t="s">
        <v>223</v>
      </c>
      <c r="H7" s="748" t="s">
        <v>224</v>
      </c>
      <c r="I7" s="749">
        <v>3.416590012</v>
      </c>
      <c r="J7" s="749" t="s">
        <v>177</v>
      </c>
      <c r="K7" s="750">
        <f>(1.716642323 * 116.39 + 1.623371113*117.82 + 0.076576576 * 118.41)</f>
        <v>400.1330169</v>
      </c>
      <c r="L7" s="751">
        <f>K7*E18</f>
        <v>347.4795132</v>
      </c>
      <c r="M7" s="751">
        <f t="shared" si="1"/>
        <v>153.1269181</v>
      </c>
      <c r="N7" s="739">
        <f t="shared" si="2"/>
        <v>176.3302105</v>
      </c>
      <c r="O7" s="741">
        <f t="shared" si="3"/>
        <v>-0.5593210181</v>
      </c>
      <c r="P7" s="752">
        <f>M7/I17</f>
        <v>0.02439614505</v>
      </c>
      <c r="Q7" s="742">
        <f>IFERROR(__xludf.DUMMYFUNCTION("if(E7 = ""USD"",R7*GoogleFinance(""CURRENCY:USDEUR""),GOOGLEFINANCE(IF(ISBLANK(C7), H7, C7&amp;"":""&amp;H7), ""Price""))"),44.8186401)</f>
        <v>44.8186401</v>
      </c>
      <c r="R7" s="743">
        <f>IFERROR(__xludf.DUMMYFUNCTION("if(E7 = ""USD"",GOOGLEFINANCE(IF(ISBLANK(C7), H7, C7&amp;"":""&amp;H7), ""Price""),Q7*GoogleFinance(""CURRENCY:EURUSD""))"),51.61)</f>
        <v>51.61</v>
      </c>
      <c r="S7" s="725"/>
      <c r="T7" s="725"/>
      <c r="U7" s="725"/>
      <c r="V7" s="725"/>
      <c r="W7" s="725"/>
      <c r="X7" s="725"/>
      <c r="Y7" s="725"/>
      <c r="Z7" s="725"/>
      <c r="AA7" s="725"/>
      <c r="AB7" s="725"/>
      <c r="AC7" s="725"/>
      <c r="AD7" s="725"/>
      <c r="AE7" s="725"/>
      <c r="AF7" s="725"/>
      <c r="AG7" s="725"/>
      <c r="AH7" s="725"/>
      <c r="AI7" s="725"/>
      <c r="AJ7" s="725"/>
      <c r="AK7" s="725"/>
      <c r="AL7" s="725"/>
      <c r="AM7" s="725"/>
    </row>
    <row r="8">
      <c r="A8" s="725"/>
      <c r="B8" s="745" t="s">
        <v>214</v>
      </c>
      <c r="C8" s="746" t="s">
        <v>221</v>
      </c>
      <c r="D8" s="746" t="s">
        <v>222</v>
      </c>
      <c r="E8" s="735" t="str">
        <f>IFERROR(__xludf.DUMMYFUNCTION("IF(ISBLANK(H8), ""-"", GOOGLEFINANCE(IF(ISBLANK(C8), H8, C8&amp;"":""&amp;H8), ""currency""))"),"USD")</f>
        <v>USD</v>
      </c>
      <c r="F8" s="747"/>
      <c r="G8" s="746" t="s">
        <v>225</v>
      </c>
      <c r="H8" s="748" t="s">
        <v>226</v>
      </c>
      <c r="I8" s="749">
        <f>0.053302062+0.145933266</f>
        <v>0.199235328</v>
      </c>
      <c r="J8" s="749" t="s">
        <v>177</v>
      </c>
      <c r="K8" s="753">
        <f>(0.053302062*187.61)+(0.145933266*231.34)</f>
        <v>43.76020161</v>
      </c>
      <c r="L8" s="754">
        <f>9.29+33.86</f>
        <v>43.15</v>
      </c>
      <c r="M8" s="751">
        <f t="shared" si="1"/>
        <v>90.42091147</v>
      </c>
      <c r="N8" s="739">
        <f t="shared" si="2"/>
        <v>104.1223748</v>
      </c>
      <c r="O8" s="741">
        <f t="shared" si="3"/>
        <v>1.379385171</v>
      </c>
      <c r="P8" s="752">
        <f>M8/I17</f>
        <v>0.01440583863</v>
      </c>
      <c r="Q8" s="742">
        <f>IFERROR(__xludf.DUMMYFUNCTION("if(E8 = ""USD"",R8*GoogleFinance(""CURRENCY:USDEUR""),GOOGLEFINANCE(IF(ISBLANK(C8), H8, C8&amp;"":""&amp;H8), ""Price""))"),453.8397501)</f>
        <v>453.8397501</v>
      </c>
      <c r="R8" s="743">
        <f>IFERROR(__xludf.DUMMYFUNCTION("if(E8 = ""USD"",GOOGLEFINANCE(IF(ISBLANK(C8), H8, C8&amp;"":""&amp;H8), ""Price""),Q8*GoogleFinance(""CURRENCY:EURUSD""))"),522.61)</f>
        <v>522.61</v>
      </c>
      <c r="S8" s="725"/>
      <c r="T8" s="725"/>
      <c r="U8" s="725"/>
      <c r="V8" s="725"/>
      <c r="W8" s="725"/>
      <c r="X8" s="725"/>
      <c r="Y8" s="725"/>
      <c r="Z8" s="725"/>
      <c r="AA8" s="725"/>
      <c r="AB8" s="725"/>
      <c r="AC8" s="725"/>
      <c r="AD8" s="725"/>
      <c r="AE8" s="725"/>
      <c r="AF8" s="725"/>
      <c r="AG8" s="725"/>
      <c r="AH8" s="725"/>
      <c r="AI8" s="725"/>
      <c r="AJ8" s="725"/>
      <c r="AK8" s="725"/>
      <c r="AL8" s="725"/>
      <c r="AM8" s="725"/>
    </row>
    <row r="9" ht="30.0" customHeight="1">
      <c r="A9" s="725"/>
      <c r="B9" s="755" t="s">
        <v>227</v>
      </c>
      <c r="C9" s="746" t="s">
        <v>228</v>
      </c>
      <c r="D9" s="746" t="s">
        <v>222</v>
      </c>
      <c r="E9" s="735" t="str">
        <f>IFERROR(__xludf.DUMMYFUNCTION("IF(ISBLANK(H9), ""-"", GOOGLEFINANCE(IF(ISBLANK(C9), H9, C9&amp;"":""&amp;H9), ""currency""))"),"EUR")</f>
        <v>EUR</v>
      </c>
      <c r="F9" s="746"/>
      <c r="G9" s="756" t="s">
        <v>229</v>
      </c>
      <c r="H9" s="748" t="s">
        <v>230</v>
      </c>
      <c r="I9" s="749">
        <f>16+15+1+5+4</f>
        <v>41</v>
      </c>
      <c r="J9" s="749">
        <v>228.14</v>
      </c>
      <c r="K9" s="753">
        <f>L9*1.08</f>
        <v>4988.8332</v>
      </c>
      <c r="L9" s="751">
        <f>(3*111.9+12*112.02+1*112+15*112.54+112.55+5*112.54+4*116)</f>
        <v>4619.29</v>
      </c>
      <c r="M9" s="751">
        <f>L9+J9</f>
        <v>4847.43</v>
      </c>
      <c r="N9" s="739">
        <f>IFERROR(__xludf.DUMMYFUNCTION("M9*GoogleFinance(""CURRENCY:EURUSD"")"),5581.8641193)</f>
        <v>5581.864119</v>
      </c>
      <c r="O9" s="741">
        <f t="shared" si="3"/>
        <v>0.1188716671</v>
      </c>
      <c r="P9" s="752">
        <f>M9/I17</f>
        <v>0.7722914223</v>
      </c>
      <c r="Q9" s="742">
        <f>IFERROR(__xludf.DUMMYFUNCTION("if(E9 = ""USD"",R9*GoogleFinance(""CURRENCY:USDEUR""),GOOGLEFINANCE(IF(ISBLANK(C9), H9, C9&amp;"":""&amp;H9), ""Price""))"),164.24)</f>
        <v>164.24</v>
      </c>
      <c r="R9" s="743">
        <f>IFERROR(__xludf.DUMMYFUNCTION("if(E9 = ""USD"",GOOGLEFINANCE(IF(ISBLANK(C9), H9, C9&amp;"":""&amp;H9), ""Price""),Q9*GoogleFinance(""CURRENCY:EURUSD""))"),189.12400240000002)</f>
        <v>189.1240024</v>
      </c>
      <c r="S9" s="725"/>
      <c r="T9" s="725"/>
      <c r="U9" s="725"/>
      <c r="V9" s="725"/>
      <c r="W9" s="725"/>
      <c r="X9" s="725"/>
      <c r="Y9" s="725"/>
      <c r="Z9" s="757"/>
      <c r="AA9" s="725"/>
      <c r="AB9" s="725"/>
      <c r="AC9" s="725"/>
      <c r="AD9" s="725"/>
      <c r="AE9" s="725"/>
      <c r="AF9" s="725"/>
      <c r="AG9" s="725"/>
      <c r="AH9" s="725"/>
      <c r="AI9" s="725"/>
      <c r="AJ9" s="725"/>
      <c r="AK9" s="725"/>
      <c r="AL9" s="725"/>
      <c r="AM9" s="725"/>
    </row>
    <row r="10">
      <c r="A10" s="725"/>
      <c r="B10" s="758"/>
      <c r="C10" s="746"/>
      <c r="D10" s="746"/>
      <c r="E10" s="746"/>
      <c r="F10" s="746"/>
      <c r="G10" s="746"/>
      <c r="H10" s="748" t="s">
        <v>231</v>
      </c>
      <c r="I10" s="759">
        <v>0.0</v>
      </c>
      <c r="J10" s="759"/>
      <c r="K10" s="759">
        <v>0.0</v>
      </c>
      <c r="L10" s="760">
        <f>IFERROR(__xludf.DUMMYFUNCTION("K10*GoogleFinance(""CURRENCY:USDEUR"")"),0.0)</f>
        <v>0</v>
      </c>
      <c r="M10" s="760">
        <f t="shared" ref="M10:M12" si="4">I10*Q10</f>
        <v>0</v>
      </c>
      <c r="N10" s="761">
        <f t="shared" ref="N10:N13" si="5">I10*R10</f>
        <v>0</v>
      </c>
      <c r="O10" s="762">
        <f t="shared" si="3"/>
        <v>0</v>
      </c>
      <c r="P10" s="763">
        <f>M10/I17</f>
        <v>0</v>
      </c>
      <c r="Q10" s="764">
        <f>IFERROR(__xludf.DUMMYFUNCTION("if(E10 = ""USD"",R10*GoogleFinance(""CURRENCY:USDEUR""),GOOGLEFINANCE(IF(ISBLANK(C10), H10, C10&amp;"":""&amp;H10), ""Price""))"),806.29)</f>
        <v>806.29</v>
      </c>
      <c r="R10" s="765">
        <f>IFERROR(__xludf.DUMMYFUNCTION("if(E10 = ""USD"",GOOGLEFINANCE(IF(ISBLANK(C10), H10, C10&amp;"":""&amp;H10), ""Price""),Q10*GoogleFinance(""CURRENCY:EURUSD""))"),928.4509979)</f>
        <v>928.4509979</v>
      </c>
      <c r="S10" s="725"/>
      <c r="T10" s="725"/>
      <c r="U10" s="725"/>
      <c r="V10" s="725"/>
      <c r="W10" s="725"/>
      <c r="X10" s="725"/>
      <c r="Y10" s="725"/>
      <c r="Z10" s="725"/>
      <c r="AA10" s="725"/>
      <c r="AB10" s="725"/>
      <c r="AC10" s="725"/>
      <c r="AD10" s="725"/>
      <c r="AE10" s="725"/>
      <c r="AF10" s="725"/>
      <c r="AG10" s="725"/>
      <c r="AH10" s="725"/>
      <c r="AI10" s="725"/>
      <c r="AJ10" s="725"/>
      <c r="AK10" s="725"/>
      <c r="AL10" s="725"/>
      <c r="AM10" s="725"/>
    </row>
    <row r="11">
      <c r="A11" s="725"/>
      <c r="B11" s="758"/>
      <c r="C11" s="746"/>
      <c r="D11" s="746"/>
      <c r="E11" s="746"/>
      <c r="F11" s="746"/>
      <c r="G11" s="746"/>
      <c r="H11" s="748" t="s">
        <v>232</v>
      </c>
      <c r="I11" s="759">
        <v>0.0</v>
      </c>
      <c r="J11" s="759"/>
      <c r="K11" s="759">
        <v>0.0</v>
      </c>
      <c r="L11" s="760">
        <f>IFERROR(__xludf.DUMMYFUNCTION("K11*GoogleFinance(""CURRENCY:USDEUR"")"),0.0)</f>
        <v>0</v>
      </c>
      <c r="M11" s="760">
        <f t="shared" si="4"/>
        <v>0</v>
      </c>
      <c r="N11" s="761">
        <f t="shared" si="5"/>
        <v>0</v>
      </c>
      <c r="O11" s="762">
        <f t="shared" si="3"/>
        <v>0</v>
      </c>
      <c r="P11" s="763">
        <f>M11/I17</f>
        <v>0</v>
      </c>
      <c r="Q11" s="764">
        <f>IFERROR(__xludf.DUMMYFUNCTION("if(E11 = ""USD"",R11*GoogleFinance(""CURRENCY:USDEUR""),GOOGLEFINANCE(IF(ISBLANK(C11), H11, C11&amp;"":""&amp;H11), ""Price""))"),144.08)</f>
        <v>144.08</v>
      </c>
      <c r="R11" s="765">
        <f>IFERROR(__xludf.DUMMYFUNCTION("if(E11 = ""USD"",GOOGLEFINANCE(IF(ISBLANK(C11), H11, C11&amp;"":""&amp;H11), ""Price""),Q11*GoogleFinance(""CURRENCY:EURUSD""))"),165.9095608)</f>
        <v>165.9095608</v>
      </c>
      <c r="S11" s="725"/>
      <c r="T11" s="725"/>
      <c r="U11" s="725"/>
      <c r="V11" s="725"/>
      <c r="W11" s="725"/>
      <c r="X11" s="725"/>
      <c r="Y11" s="725"/>
      <c r="Z11" s="725"/>
      <c r="AA11" s="725"/>
      <c r="AB11" s="725"/>
      <c r="AC11" s="725"/>
      <c r="AD11" s="725"/>
      <c r="AE11" s="725"/>
      <c r="AF11" s="725"/>
      <c r="AG11" s="725"/>
      <c r="AH11" s="725"/>
      <c r="AI11" s="725"/>
      <c r="AJ11" s="725"/>
      <c r="AK11" s="725"/>
      <c r="AL11" s="725"/>
      <c r="AM11" s="725"/>
    </row>
    <row r="12">
      <c r="A12" s="725"/>
      <c r="B12" s="758"/>
      <c r="C12" s="746"/>
      <c r="D12" s="746"/>
      <c r="E12" s="746"/>
      <c r="F12" s="747"/>
      <c r="G12" s="746"/>
      <c r="H12" s="748" t="s">
        <v>233</v>
      </c>
      <c r="I12" s="759">
        <v>0.0</v>
      </c>
      <c r="J12" s="759"/>
      <c r="K12" s="759">
        <v>0.0</v>
      </c>
      <c r="L12" s="760">
        <f>IFERROR(__xludf.DUMMYFUNCTION("K12*GoogleFinance(""CURRENCY:USDEUR"")"),0.0)</f>
        <v>0</v>
      </c>
      <c r="M12" s="760">
        <f t="shared" si="4"/>
        <v>0</v>
      </c>
      <c r="N12" s="761">
        <f t="shared" si="5"/>
        <v>0</v>
      </c>
      <c r="O12" s="762">
        <f t="shared" si="3"/>
        <v>0</v>
      </c>
      <c r="P12" s="763">
        <f>M12/I17</f>
        <v>0</v>
      </c>
      <c r="Q12" s="764">
        <f>IFERROR(__xludf.DUMMYFUNCTION("if(E12 = ""USD"",R12*GoogleFinance(""CURRENCY:USDEUR""),GOOGLEFINANCE(IF(ISBLANK(C12), H12, C12&amp;"":""&amp;H12), ""Price""))"),144.64)</f>
        <v>144.64</v>
      </c>
      <c r="R12" s="765">
        <f>IFERROR(__xludf.DUMMYFUNCTION("if(E12 = ""USD"",GOOGLEFINANCE(IF(ISBLANK(C12), H12, C12&amp;"":""&amp;H12), ""Price""),Q12*GoogleFinance(""CURRENCY:EURUSD""))"),166.55440639999998)</f>
        <v>166.5544064</v>
      </c>
      <c r="S12" s="725"/>
      <c r="T12" s="725"/>
      <c r="U12" s="725"/>
      <c r="V12" s="725"/>
      <c r="W12" s="725"/>
      <c r="X12" s="725"/>
      <c r="Y12" s="725"/>
      <c r="Z12" s="725"/>
      <c r="AA12" s="725"/>
      <c r="AB12" s="725"/>
      <c r="AC12" s="725"/>
      <c r="AD12" s="725"/>
      <c r="AE12" s="725"/>
      <c r="AF12" s="725"/>
      <c r="AG12" s="725"/>
      <c r="AH12" s="725"/>
      <c r="AI12" s="725"/>
      <c r="AJ12" s="725"/>
      <c r="AK12" s="725"/>
      <c r="AL12" s="725"/>
      <c r="AM12" s="725"/>
    </row>
    <row r="13">
      <c r="A13" s="725"/>
      <c r="B13" s="766"/>
      <c r="C13" s="767"/>
      <c r="D13" s="767"/>
      <c r="E13" s="767"/>
      <c r="F13" s="767"/>
      <c r="G13" s="767"/>
      <c r="H13" s="768" t="s">
        <v>234</v>
      </c>
      <c r="I13" s="769">
        <v>0.0</v>
      </c>
      <c r="J13" s="769"/>
      <c r="K13" s="769">
        <v>0.0</v>
      </c>
      <c r="L13" s="770">
        <f>IFERROR(__xludf.DUMMYFUNCTION("K13*GoogleFinance(""CURRENCY:USDEUR"")"),0.0)</f>
        <v>0</v>
      </c>
      <c r="M13" s="770">
        <f>I13*R13</f>
        <v>0</v>
      </c>
      <c r="N13" s="771">
        <f t="shared" si="5"/>
        <v>0</v>
      </c>
      <c r="O13" s="772">
        <f t="shared" si="3"/>
        <v>0</v>
      </c>
      <c r="P13" s="773">
        <f>M13/I17</f>
        <v>0</v>
      </c>
      <c r="Q13" s="764">
        <f>IFERROR(__xludf.DUMMYFUNCTION("if(E13 = ""USD"",R13*GoogleFinance(""CURRENCY:USDEUR""),GOOGLEFINANCE(IF(ISBLANK(C13), H13, C13&amp;"":""&amp;H13), ""Price""))"),539.03)</f>
        <v>539.03</v>
      </c>
      <c r="R13" s="765">
        <f>IFERROR(__xludf.DUMMYFUNCTION("if(E13 = ""USD"",GOOGLEFINANCE(IF(ISBLANK(C13), H13, C13&amp;"":""&amp;H13), ""Price""),Q13*GoogleFinance(""CURRENCY:EURUSD""))"),620.6984353)</f>
        <v>620.6984353</v>
      </c>
      <c r="S13" s="725"/>
      <c r="T13" s="774"/>
      <c r="U13" s="725"/>
      <c r="V13" s="725"/>
      <c r="W13" s="725"/>
      <c r="X13" s="725"/>
      <c r="Y13" s="725"/>
      <c r="Z13" s="725"/>
      <c r="AA13" s="725"/>
      <c r="AB13" s="725"/>
      <c r="AC13" s="725"/>
      <c r="AD13" s="725"/>
      <c r="AE13" s="725"/>
      <c r="AF13" s="725"/>
      <c r="AG13" s="725"/>
      <c r="AH13" s="725"/>
      <c r="AI13" s="725"/>
      <c r="AJ13" s="725"/>
      <c r="AK13" s="725"/>
      <c r="AL13" s="725"/>
      <c r="AM13" s="725"/>
    </row>
    <row r="14" ht="32.25" customHeight="1">
      <c r="A14" s="725"/>
      <c r="B14" s="775"/>
      <c r="C14" s="775"/>
      <c r="D14" s="775"/>
      <c r="E14" s="776" t="s">
        <v>160</v>
      </c>
      <c r="F14" s="776"/>
      <c r="G14" s="776" t="s">
        <v>235</v>
      </c>
      <c r="H14" s="776" t="s">
        <v>177</v>
      </c>
      <c r="I14" s="777">
        <v>1.0</v>
      </c>
      <c r="J14" s="777"/>
      <c r="K14" s="777">
        <f>L14*F17</f>
        <v>39.15134</v>
      </c>
      <c r="L14" s="777">
        <v>34.0</v>
      </c>
      <c r="M14" s="777">
        <v>34.0</v>
      </c>
      <c r="N14" s="777">
        <f>IFERROR(__xludf.DUMMYFUNCTION("L14*GoogleFinance(""CURRENCY:EURUSD"")"),39.151340000000005)</f>
        <v>39.15134</v>
      </c>
      <c r="O14" s="778">
        <v>0.0</v>
      </c>
      <c r="P14" s="779">
        <f>M14/$I17</f>
        <v>0.005416872107</v>
      </c>
      <c r="Q14" s="780">
        <f>M14</f>
        <v>34</v>
      </c>
      <c r="R14" s="781">
        <f>IFERROR(__xludf.DUMMYFUNCTION("Q14*GoogleFinance(""CURRENCY:EURUSD"")"),39.151340000000005)</f>
        <v>39.15134</v>
      </c>
      <c r="S14" s="725"/>
      <c r="T14" s="774"/>
      <c r="U14" s="725"/>
      <c r="V14" s="725"/>
      <c r="W14" s="725"/>
      <c r="X14" s="725"/>
      <c r="Y14" s="725"/>
      <c r="Z14" s="725"/>
      <c r="AA14" s="725"/>
      <c r="AB14" s="725"/>
      <c r="AC14" s="725"/>
      <c r="AD14" s="725"/>
      <c r="AE14" s="725"/>
      <c r="AF14" s="725"/>
      <c r="AG14" s="725"/>
      <c r="AH14" s="725"/>
      <c r="AI14" s="725"/>
      <c r="AJ14" s="725"/>
      <c r="AK14" s="725"/>
      <c r="AL14" s="725"/>
      <c r="AM14" s="725"/>
    </row>
    <row r="15">
      <c r="A15" s="725"/>
      <c r="B15" s="775"/>
      <c r="C15" s="775"/>
      <c r="D15" s="775"/>
      <c r="E15" s="775"/>
      <c r="F15" s="775"/>
      <c r="G15" s="775"/>
      <c r="H15" s="782"/>
      <c r="I15" s="783" t="s">
        <v>236</v>
      </c>
      <c r="J15" s="784"/>
      <c r="K15" s="784"/>
      <c r="L15" s="784"/>
      <c r="M15" s="784"/>
      <c r="N15" s="784"/>
      <c r="O15" s="784"/>
      <c r="P15" s="784"/>
      <c r="Q15" s="784"/>
      <c r="R15" s="784"/>
      <c r="S15" s="725"/>
      <c r="T15" s="785"/>
      <c r="U15" s="725"/>
      <c r="V15" s="725"/>
      <c r="W15" s="725"/>
      <c r="X15" s="725"/>
      <c r="Y15" s="725"/>
      <c r="Z15" s="725"/>
      <c r="AA15" s="725"/>
      <c r="AB15" s="725"/>
      <c r="AC15" s="725"/>
      <c r="AD15" s="725"/>
      <c r="AE15" s="725"/>
      <c r="AF15" s="725"/>
      <c r="AG15" s="725"/>
      <c r="AH15" s="725"/>
      <c r="AI15" s="725"/>
      <c r="AJ15" s="725"/>
      <c r="AK15" s="725"/>
      <c r="AL15" s="725"/>
      <c r="AM15" s="725"/>
    </row>
    <row r="16" ht="18.0" customHeight="1">
      <c r="A16" s="725"/>
      <c r="B16" s="775"/>
      <c r="C16" s="775"/>
      <c r="D16" s="775"/>
      <c r="E16" s="786" t="s">
        <v>160</v>
      </c>
      <c r="F16" s="787" t="s">
        <v>168</v>
      </c>
      <c r="G16" s="775"/>
      <c r="H16" s="788" t="s">
        <v>69</v>
      </c>
      <c r="I16" s="789" t="s">
        <v>237</v>
      </c>
      <c r="J16" s="249"/>
      <c r="K16" s="249"/>
      <c r="L16" s="249"/>
      <c r="M16" s="249"/>
      <c r="N16" s="249"/>
      <c r="O16" s="790" t="s">
        <v>238</v>
      </c>
      <c r="P16" s="249"/>
      <c r="Q16" s="249"/>
      <c r="R16" s="249"/>
      <c r="S16" s="725"/>
      <c r="T16" s="785"/>
      <c r="U16" s="725"/>
      <c r="V16" s="725"/>
      <c r="W16" s="725"/>
      <c r="X16" s="725"/>
      <c r="Y16" s="725"/>
      <c r="Z16" s="725"/>
      <c r="AA16" s="725"/>
      <c r="AB16" s="791"/>
      <c r="AC16" s="791"/>
      <c r="AD16" s="791"/>
      <c r="AE16" s="791"/>
      <c r="AF16" s="791"/>
      <c r="AG16" s="791"/>
      <c r="AH16" s="791"/>
      <c r="AI16" s="791"/>
      <c r="AJ16" s="791"/>
      <c r="AK16" s="791"/>
      <c r="AL16" s="791"/>
      <c r="AM16" s="791"/>
      <c r="AN16" s="791"/>
      <c r="AO16" s="791"/>
      <c r="AP16" s="791"/>
      <c r="AQ16" s="791"/>
    </row>
    <row r="17" ht="21.0" customHeight="1">
      <c r="A17" s="725"/>
      <c r="B17" s="775"/>
      <c r="C17" s="775"/>
      <c r="D17" s="775"/>
      <c r="E17" s="792">
        <v>1.0</v>
      </c>
      <c r="F17" s="793">
        <f>IFERROR(__xludf.DUMMYFUNCTION("E17*GoogleFinance(""CURRENCY:EURUSD"")"),1.15151)</f>
        <v>1.15151</v>
      </c>
      <c r="G17" s="775"/>
      <c r="H17" s="794" t="s">
        <v>239</v>
      </c>
      <c r="I17" s="795">
        <f>SUM(L5:L14)</f>
        <v>6276.685018</v>
      </c>
      <c r="J17" s="223"/>
      <c r="K17" s="223"/>
      <c r="L17" s="223"/>
      <c r="M17" s="223"/>
      <c r="N17" s="223"/>
      <c r="O17" s="796">
        <v>1.0</v>
      </c>
      <c r="P17" s="223"/>
      <c r="Q17" s="223"/>
      <c r="R17" s="223"/>
      <c r="S17" s="725"/>
      <c r="T17" s="785"/>
      <c r="U17" s="725"/>
      <c r="V17" s="725"/>
      <c r="W17" s="725"/>
      <c r="X17" s="725"/>
      <c r="Y17" s="725"/>
      <c r="Z17" s="725"/>
      <c r="AA17" s="725"/>
      <c r="AB17" s="791"/>
      <c r="AC17" s="791"/>
      <c r="AD17" s="791"/>
      <c r="AE17" s="791"/>
      <c r="AF17" s="791"/>
      <c r="AG17" s="791"/>
      <c r="AH17" s="791"/>
      <c r="AI17" s="791"/>
      <c r="AJ17" s="791"/>
      <c r="AK17" s="791"/>
      <c r="AL17" s="791"/>
      <c r="AM17" s="791"/>
      <c r="AN17" s="791"/>
      <c r="AO17" s="791"/>
      <c r="AP17" s="791"/>
      <c r="AQ17" s="791"/>
    </row>
    <row r="18" ht="21.0" customHeight="1">
      <c r="A18" s="725"/>
      <c r="B18" s="775"/>
      <c r="C18" s="775"/>
      <c r="D18" s="775"/>
      <c r="E18" s="797">
        <f>IFERROR(__xludf.DUMMYFUNCTION("F18*GoogleFinance(""CURRENCY:USDEUR"")"),0.86841)</f>
        <v>0.86841</v>
      </c>
      <c r="F18" s="798">
        <v>1.0</v>
      </c>
      <c r="G18" s="775"/>
      <c r="H18" s="794" t="s">
        <v>155</v>
      </c>
      <c r="I18" s="799">
        <f>SUM(M5:M14)</f>
        <v>6502.935925</v>
      </c>
      <c r="J18" s="282"/>
      <c r="K18" s="282"/>
      <c r="L18" s="282"/>
      <c r="M18" s="282"/>
      <c r="N18" s="282"/>
      <c r="O18" s="800">
        <f>I18/I17</f>
        <v>1.036046242</v>
      </c>
      <c r="P18" s="282"/>
      <c r="Q18" s="282"/>
      <c r="R18" s="282"/>
      <c r="S18" s="725"/>
      <c r="T18" s="725"/>
      <c r="U18" s="725"/>
      <c r="V18" s="725"/>
      <c r="W18" s="725"/>
      <c r="X18" s="725"/>
      <c r="Y18" s="725"/>
      <c r="Z18" s="725"/>
      <c r="AA18" s="725"/>
      <c r="AB18" s="791"/>
      <c r="AC18" s="791"/>
      <c r="AD18" s="791"/>
      <c r="AE18" s="791"/>
      <c r="AF18" s="791"/>
      <c r="AG18" s="791"/>
      <c r="AH18" s="791"/>
      <c r="AI18" s="791"/>
      <c r="AJ18" s="791"/>
      <c r="AK18" s="791"/>
      <c r="AL18" s="791"/>
      <c r="AM18" s="791"/>
      <c r="AN18" s="791"/>
      <c r="AO18" s="791"/>
      <c r="AP18" s="791"/>
      <c r="AQ18" s="791"/>
    </row>
    <row r="19" ht="21.0" customHeight="1">
      <c r="A19" s="725"/>
      <c r="B19" s="775"/>
      <c r="C19" s="775"/>
      <c r="D19" s="775"/>
      <c r="E19" s="775"/>
      <c r="F19" s="775"/>
      <c r="G19" s="775"/>
      <c r="H19" s="801" t="s">
        <v>240</v>
      </c>
      <c r="I19" s="802">
        <f>I18-I17</f>
        <v>226.2509066</v>
      </c>
      <c r="J19" s="803"/>
      <c r="K19" s="803"/>
      <c r="L19" s="803"/>
      <c r="M19" s="803"/>
      <c r="N19" s="803"/>
      <c r="O19" s="804">
        <f>O18-O17</f>
        <v>0.03604624191</v>
      </c>
      <c r="P19" s="803"/>
      <c r="Q19" s="803"/>
      <c r="R19" s="803"/>
      <c r="S19" s="725"/>
      <c r="T19" s="725"/>
      <c r="U19" s="725"/>
      <c r="V19" s="725"/>
      <c r="W19" s="725"/>
      <c r="X19" s="725"/>
      <c r="Y19" s="725"/>
      <c r="Z19" s="725"/>
      <c r="AA19" s="725"/>
      <c r="AB19" s="791"/>
      <c r="AC19" s="791"/>
      <c r="AD19" s="791"/>
      <c r="AE19" s="791"/>
      <c r="AF19" s="791"/>
      <c r="AG19" s="791"/>
      <c r="AH19" s="791"/>
      <c r="AI19" s="791"/>
      <c r="AJ19" s="791"/>
      <c r="AK19" s="791"/>
      <c r="AL19" s="791"/>
      <c r="AM19" s="791"/>
      <c r="AN19" s="791"/>
      <c r="AO19" s="791"/>
      <c r="AP19" s="791"/>
      <c r="AQ19" s="791"/>
    </row>
    <row r="20">
      <c r="A20" s="805"/>
      <c r="B20" s="805"/>
      <c r="C20" s="805"/>
      <c r="D20" s="774"/>
      <c r="E20" s="774"/>
      <c r="F20" s="774"/>
      <c r="G20" s="774"/>
      <c r="H20" s="774"/>
      <c r="I20" s="774"/>
      <c r="J20" s="774"/>
      <c r="K20" s="774"/>
      <c r="L20" s="774"/>
      <c r="M20" s="774"/>
      <c r="N20" s="774"/>
      <c r="O20" s="774"/>
      <c r="P20" s="774"/>
      <c r="Q20" s="774"/>
      <c r="R20" s="774"/>
      <c r="S20" s="774"/>
      <c r="T20" s="725"/>
      <c r="U20" s="725"/>
      <c r="V20" s="725"/>
      <c r="W20" s="725"/>
      <c r="X20" s="725"/>
      <c r="Y20" s="725"/>
      <c r="Z20" s="725"/>
      <c r="AA20" s="725"/>
      <c r="AB20" s="791"/>
      <c r="AC20" s="791"/>
      <c r="AD20" s="791"/>
      <c r="AE20" s="791"/>
      <c r="AF20" s="791"/>
      <c r="AG20" s="791"/>
      <c r="AH20" s="791"/>
      <c r="AI20" s="791"/>
      <c r="AJ20" s="791"/>
      <c r="AK20" s="791"/>
      <c r="AL20" s="791"/>
      <c r="AM20" s="791"/>
      <c r="AN20" s="791"/>
      <c r="AO20" s="791"/>
      <c r="AP20" s="791"/>
      <c r="AQ20" s="791"/>
    </row>
    <row r="21">
      <c r="A21" s="725"/>
      <c r="B21" s="725"/>
      <c r="C21" s="725"/>
      <c r="D21" s="725"/>
      <c r="E21" s="725"/>
      <c r="F21" s="725"/>
      <c r="G21" s="725"/>
      <c r="H21" s="725"/>
      <c r="I21" s="725"/>
      <c r="J21" s="725"/>
      <c r="K21" s="725"/>
      <c r="L21" s="725"/>
      <c r="M21" s="725"/>
      <c r="N21" s="725"/>
      <c r="O21" s="725"/>
      <c r="P21" s="725"/>
      <c r="Q21" s="725"/>
      <c r="R21" s="725"/>
      <c r="S21" s="725"/>
      <c r="T21" s="725"/>
      <c r="U21" s="725"/>
      <c r="V21" s="725"/>
      <c r="W21" s="725"/>
      <c r="X21" s="725"/>
      <c r="Y21" s="725"/>
      <c r="Z21" s="725"/>
      <c r="AA21" s="725"/>
      <c r="AB21" s="791"/>
      <c r="AC21" s="791"/>
      <c r="AD21" s="791"/>
      <c r="AE21" s="791"/>
      <c r="AF21" s="791"/>
      <c r="AG21" s="791"/>
      <c r="AH21" s="791"/>
      <c r="AI21" s="791"/>
      <c r="AJ21" s="791"/>
      <c r="AK21" s="791"/>
      <c r="AL21" s="791"/>
      <c r="AM21" s="791"/>
      <c r="AN21" s="791"/>
      <c r="AO21" s="791"/>
      <c r="AP21" s="791"/>
      <c r="AQ21" s="791"/>
    </row>
    <row r="22" ht="27.75" customHeight="1">
      <c r="A22" s="725"/>
      <c r="B22" s="725"/>
      <c r="C22" s="725"/>
      <c r="D22" s="725"/>
      <c r="E22" s="725"/>
      <c r="F22" s="725"/>
      <c r="G22" s="725"/>
      <c r="H22" s="725"/>
      <c r="I22" s="725"/>
      <c r="J22" s="725"/>
      <c r="K22" s="725"/>
      <c r="L22" s="725"/>
      <c r="M22" s="725"/>
      <c r="N22" s="725"/>
      <c r="O22" s="725"/>
      <c r="P22" s="725"/>
      <c r="Q22" s="725"/>
      <c r="R22" s="725"/>
      <c r="S22" s="725"/>
      <c r="T22" s="725"/>
      <c r="U22" s="806" t="s">
        <v>241</v>
      </c>
      <c r="AG22" s="791"/>
      <c r="AH22" s="807" t="s">
        <v>242</v>
      </c>
      <c r="AI22" s="807" t="s">
        <v>243</v>
      </c>
      <c r="AJ22" s="791"/>
      <c r="AK22" s="791"/>
      <c r="AL22" s="791"/>
      <c r="AM22" s="791"/>
    </row>
    <row r="23">
      <c r="A23" s="725"/>
      <c r="B23" s="725"/>
      <c r="C23" s="725"/>
      <c r="D23" s="725"/>
      <c r="E23" s="725"/>
      <c r="F23" s="725"/>
      <c r="G23" s="725"/>
      <c r="H23" s="725"/>
      <c r="I23" s="725"/>
      <c r="J23" s="725"/>
      <c r="K23" s="725"/>
      <c r="L23" s="725"/>
      <c r="M23" s="725"/>
      <c r="N23" s="725"/>
      <c r="O23" s="725"/>
      <c r="P23" s="725"/>
      <c r="Q23" s="725"/>
      <c r="R23" s="725"/>
      <c r="S23" s="725"/>
      <c r="T23" s="808" t="s">
        <v>12</v>
      </c>
      <c r="U23" s="809" t="s">
        <v>76</v>
      </c>
      <c r="V23" s="809" t="s">
        <v>77</v>
      </c>
      <c r="W23" s="810" t="s">
        <v>183</v>
      </c>
      <c r="X23" s="810" t="s">
        <v>184</v>
      </c>
      <c r="Y23" s="809" t="s">
        <v>244</v>
      </c>
      <c r="Z23" s="809" t="s">
        <v>186</v>
      </c>
      <c r="AA23" s="809" t="s">
        <v>187</v>
      </c>
      <c r="AB23" s="809" t="s">
        <v>124</v>
      </c>
      <c r="AC23" s="809" t="s">
        <v>245</v>
      </c>
      <c r="AD23" s="811" t="s">
        <v>246</v>
      </c>
      <c r="AE23" s="811" t="s">
        <v>148</v>
      </c>
      <c r="AF23" s="811" t="s">
        <v>149</v>
      </c>
      <c r="AG23" s="791"/>
      <c r="AH23" s="812">
        <v>800.0</v>
      </c>
      <c r="AI23" s="813">
        <v>2.5</v>
      </c>
      <c r="AJ23" s="791"/>
      <c r="AK23" s="791"/>
      <c r="AL23" s="791"/>
      <c r="AM23" s="791"/>
    </row>
    <row r="24">
      <c r="A24" s="725"/>
      <c r="B24" s="725"/>
      <c r="C24" s="725"/>
      <c r="D24" s="725"/>
      <c r="E24" s="725"/>
      <c r="F24" s="725"/>
      <c r="G24" s="725"/>
      <c r="H24" s="725"/>
      <c r="I24" s="725"/>
      <c r="J24" s="725"/>
      <c r="K24" s="725"/>
      <c r="L24" s="725"/>
      <c r="M24" s="725"/>
      <c r="N24" s="725"/>
      <c r="O24" s="725"/>
      <c r="P24" s="725"/>
      <c r="Q24" s="725"/>
      <c r="R24" s="725"/>
      <c r="S24" s="725"/>
      <c r="T24" s="814" t="s">
        <v>247</v>
      </c>
      <c r="U24" s="815">
        <v>739.0</v>
      </c>
      <c r="V24" s="816">
        <f>5905</f>
        <v>5905</v>
      </c>
      <c r="W24" s="817">
        <f>I17</f>
        <v>6276.685018</v>
      </c>
      <c r="X24" s="817">
        <f t="shared" ref="X24:X25" si="7">I17</f>
        <v>6276.685018</v>
      </c>
      <c r="Y24" s="817">
        <f>8309-613</f>
        <v>7696</v>
      </c>
      <c r="Z24" s="818">
        <v>8309.0</v>
      </c>
      <c r="AA24" s="817">
        <f>7322+1000</f>
        <v>8322</v>
      </c>
      <c r="AB24" s="817">
        <f>8799+980</f>
        <v>9779</v>
      </c>
      <c r="AC24" s="817">
        <f t="shared" ref="AC24:AF24" si="6">AB26+$AH23</f>
        <v>10823.475</v>
      </c>
      <c r="AD24" s="817">
        <f t="shared" si="6"/>
        <v>11894.06188</v>
      </c>
      <c r="AE24" s="817">
        <f t="shared" si="6"/>
        <v>12991.41342</v>
      </c>
      <c r="AF24" s="817">
        <f t="shared" si="6"/>
        <v>14116.19876</v>
      </c>
      <c r="AG24" s="791"/>
      <c r="AH24" s="791"/>
      <c r="AI24" s="791"/>
      <c r="AJ24" s="791"/>
      <c r="AK24" s="791"/>
      <c r="AL24" s="791"/>
      <c r="AM24" s="791"/>
    </row>
    <row r="25">
      <c r="A25" s="725"/>
      <c r="B25" s="725"/>
      <c r="C25" s="725"/>
      <c r="D25" s="725"/>
      <c r="E25" s="725"/>
      <c r="F25" s="725"/>
      <c r="G25" s="725"/>
      <c r="H25" s="725"/>
      <c r="I25" s="725"/>
      <c r="J25" s="725"/>
      <c r="K25" s="725"/>
      <c r="L25" s="725"/>
      <c r="M25" s="725"/>
      <c r="N25" s="725"/>
      <c r="O25" s="725"/>
      <c r="P25" s="725"/>
      <c r="Q25" s="725"/>
      <c r="R25" s="725"/>
      <c r="S25" s="725"/>
      <c r="T25" s="819" t="s">
        <v>248</v>
      </c>
      <c r="U25" s="820">
        <v>751.69</v>
      </c>
      <c r="V25" s="820">
        <v>6100.0</v>
      </c>
      <c r="W25" s="821">
        <v>6817.0</v>
      </c>
      <c r="X25" s="821">
        <f t="shared" si="7"/>
        <v>6502.935925</v>
      </c>
      <c r="Y25" s="820">
        <v>8200.0</v>
      </c>
      <c r="Z25" s="820">
        <v>8309.0</v>
      </c>
      <c r="AA25" s="820">
        <f>1433+7761</f>
        <v>9194</v>
      </c>
      <c r="AB25" s="820">
        <f>9318+1565</f>
        <v>10883</v>
      </c>
      <c r="AC25" s="820">
        <v>0.0</v>
      </c>
      <c r="AD25" s="822">
        <v>0.0</v>
      </c>
      <c r="AE25" s="822">
        <v>0.0</v>
      </c>
      <c r="AF25" s="822">
        <v>0.0</v>
      </c>
      <c r="AG25" s="791"/>
      <c r="AH25" s="791"/>
      <c r="AI25" s="791"/>
      <c r="AJ25" s="791"/>
      <c r="AK25" s="791"/>
      <c r="AL25" s="791"/>
      <c r="AM25" s="791"/>
    </row>
    <row r="26">
      <c r="A26" s="725"/>
      <c r="B26" s="725"/>
      <c r="C26" s="725"/>
      <c r="D26" s="725"/>
      <c r="E26" s="725"/>
      <c r="F26" s="725"/>
      <c r="G26" s="725"/>
      <c r="H26" s="725"/>
      <c r="I26" s="725"/>
      <c r="J26" s="725"/>
      <c r="K26" s="725"/>
      <c r="L26" s="725"/>
      <c r="M26" s="725"/>
      <c r="N26" s="725"/>
      <c r="O26" s="725"/>
      <c r="P26" s="725"/>
      <c r="Q26" s="725"/>
      <c r="R26" s="725"/>
      <c r="S26" s="725"/>
      <c r="T26" s="823" t="s">
        <v>249</v>
      </c>
      <c r="U26" s="824">
        <f t="shared" ref="U26:AF26" si="8">U24+(U24*$AI23/100)</f>
        <v>757.475</v>
      </c>
      <c r="V26" s="824">
        <f t="shared" si="8"/>
        <v>6052.625</v>
      </c>
      <c r="W26" s="824">
        <f t="shared" si="8"/>
        <v>6433.602143</v>
      </c>
      <c r="X26" s="824">
        <f t="shared" si="8"/>
        <v>6433.602143</v>
      </c>
      <c r="Y26" s="824">
        <f t="shared" si="8"/>
        <v>7888.4</v>
      </c>
      <c r="Z26" s="824">
        <f t="shared" si="8"/>
        <v>8516.725</v>
      </c>
      <c r="AA26" s="824">
        <f t="shared" si="8"/>
        <v>8530.05</v>
      </c>
      <c r="AB26" s="824">
        <f t="shared" si="8"/>
        <v>10023.475</v>
      </c>
      <c r="AC26" s="824">
        <f t="shared" si="8"/>
        <v>11094.06188</v>
      </c>
      <c r="AD26" s="824">
        <f t="shared" si="8"/>
        <v>12191.41342</v>
      </c>
      <c r="AE26" s="824">
        <f t="shared" si="8"/>
        <v>13316.19876</v>
      </c>
      <c r="AF26" s="824">
        <f t="shared" si="8"/>
        <v>14469.10373</v>
      </c>
      <c r="AG26" s="791"/>
      <c r="AH26" s="791"/>
      <c r="AI26" s="791"/>
      <c r="AJ26" s="791"/>
      <c r="AK26" s="791"/>
      <c r="AL26" s="791"/>
      <c r="AM26" s="791"/>
    </row>
    <row r="27">
      <c r="A27" s="725"/>
      <c r="B27" s="725"/>
      <c r="C27" s="725"/>
      <c r="D27" s="725"/>
      <c r="E27" s="725"/>
      <c r="F27" s="725"/>
      <c r="G27" s="725"/>
      <c r="H27" s="725"/>
      <c r="I27" s="725"/>
      <c r="J27" s="725"/>
      <c r="K27" s="725"/>
      <c r="L27" s="725"/>
      <c r="M27" s="725"/>
      <c r="N27" s="725"/>
      <c r="O27" s="725"/>
      <c r="P27" s="725"/>
      <c r="Q27" s="725"/>
      <c r="R27" s="725"/>
      <c r="S27" s="725"/>
      <c r="T27" s="825" t="s">
        <v>250</v>
      </c>
      <c r="U27" s="826">
        <v>0.0</v>
      </c>
      <c r="V27" s="827">
        <f t="shared" ref="V27:AB27" si="9">V25/V24 - 1</f>
        <v>0.03302286198</v>
      </c>
      <c r="W27" s="827">
        <f t="shared" si="9"/>
        <v>0.0860828575</v>
      </c>
      <c r="X27" s="827">
        <f t="shared" si="9"/>
        <v>0.03604624191</v>
      </c>
      <c r="Y27" s="827">
        <f t="shared" si="9"/>
        <v>0.06548856549</v>
      </c>
      <c r="Z27" s="827">
        <f t="shared" si="9"/>
        <v>0</v>
      </c>
      <c r="AA27" s="827">
        <f t="shared" si="9"/>
        <v>0.1047825042</v>
      </c>
      <c r="AB27" s="827">
        <f t="shared" si="9"/>
        <v>0.112894979</v>
      </c>
      <c r="AC27" s="826"/>
      <c r="AD27" s="826"/>
      <c r="AE27" s="826"/>
      <c r="AF27" s="826"/>
      <c r="AG27" s="791"/>
      <c r="AH27" s="791"/>
      <c r="AI27" s="791"/>
      <c r="AJ27" s="791"/>
      <c r="AK27" s="791"/>
      <c r="AL27" s="791"/>
      <c r="AM27" s="791"/>
    </row>
    <row r="28">
      <c r="A28" s="725"/>
      <c r="B28" s="725"/>
      <c r="C28" s="725"/>
      <c r="D28" s="725"/>
      <c r="E28" s="725"/>
      <c r="F28" s="725"/>
      <c r="G28" s="725"/>
      <c r="H28" s="725"/>
      <c r="I28" s="725"/>
      <c r="J28" s="725"/>
      <c r="K28" s="725"/>
      <c r="L28" s="725"/>
      <c r="M28" s="725"/>
      <c r="N28" s="725"/>
      <c r="O28" s="725"/>
      <c r="P28" s="725"/>
      <c r="Q28" s="725"/>
      <c r="R28" s="725"/>
      <c r="S28" s="725"/>
      <c r="T28" s="828"/>
      <c r="U28" s="826" t="s">
        <v>251</v>
      </c>
      <c r="V28" s="826" t="s">
        <v>252</v>
      </c>
      <c r="W28" s="826" t="s">
        <v>253</v>
      </c>
      <c r="X28" s="826" t="s">
        <v>254</v>
      </c>
      <c r="Y28" s="826" t="s">
        <v>255</v>
      </c>
      <c r="Z28" s="826" t="s">
        <v>256</v>
      </c>
      <c r="AA28" s="826" t="s">
        <v>257</v>
      </c>
      <c r="AB28" s="826" t="s">
        <v>258</v>
      </c>
      <c r="AC28" s="826" t="s">
        <v>259</v>
      </c>
      <c r="AD28" s="826" t="s">
        <v>260</v>
      </c>
      <c r="AE28" s="826" t="s">
        <v>261</v>
      </c>
      <c r="AF28" s="826" t="s">
        <v>262</v>
      </c>
      <c r="AG28" s="791"/>
      <c r="AH28" s="791"/>
      <c r="AI28" s="791"/>
      <c r="AJ28" s="791"/>
      <c r="AK28" s="791"/>
      <c r="AL28" s="791"/>
      <c r="AM28" s="791"/>
    </row>
    <row r="29">
      <c r="A29" s="725"/>
      <c r="B29" s="725"/>
      <c r="C29" s="725"/>
      <c r="D29" s="725"/>
      <c r="E29" s="725"/>
      <c r="F29" s="725"/>
      <c r="G29" s="725"/>
      <c r="H29" s="725"/>
      <c r="I29" s="725"/>
      <c r="J29" s="725"/>
      <c r="K29" s="725"/>
      <c r="L29" s="725"/>
      <c r="M29" s="725"/>
      <c r="N29" s="725"/>
      <c r="O29" s="725"/>
      <c r="P29" s="725"/>
      <c r="Q29" s="725"/>
      <c r="R29" s="725"/>
      <c r="S29" s="725"/>
      <c r="T29" s="785"/>
      <c r="U29" s="725"/>
      <c r="V29" s="725"/>
      <c r="W29" s="725"/>
      <c r="X29" s="725"/>
      <c r="Y29" s="725"/>
      <c r="Z29" s="725"/>
      <c r="AA29" s="725"/>
      <c r="AB29" s="725"/>
      <c r="AC29" s="725"/>
      <c r="AD29" s="725"/>
      <c r="AE29" s="725"/>
      <c r="AF29" s="725"/>
      <c r="AG29" s="791"/>
      <c r="AH29" s="791"/>
      <c r="AI29" s="791"/>
      <c r="AJ29" s="791"/>
      <c r="AK29" s="791"/>
      <c r="AL29" s="791"/>
      <c r="AM29" s="791"/>
    </row>
    <row r="30">
      <c r="A30" s="829"/>
      <c r="B30" s="829"/>
      <c r="C30" s="829"/>
      <c r="D30" s="774"/>
      <c r="E30" s="774"/>
      <c r="F30" s="725"/>
      <c r="G30" s="725"/>
      <c r="H30" s="725"/>
      <c r="I30" s="725"/>
      <c r="J30" s="725"/>
      <c r="K30" s="725"/>
      <c r="L30" s="725"/>
      <c r="M30" s="725"/>
      <c r="N30" s="725"/>
      <c r="O30" s="725"/>
      <c r="P30" s="725"/>
      <c r="Q30" s="725"/>
      <c r="R30" s="725"/>
      <c r="S30" s="725"/>
      <c r="T30" s="725"/>
      <c r="U30" s="725"/>
      <c r="V30" s="725"/>
      <c r="W30" s="725"/>
      <c r="X30" s="725"/>
      <c r="Y30" s="725"/>
      <c r="Z30" s="725"/>
      <c r="AA30" s="725"/>
      <c r="AB30" s="725"/>
      <c r="AC30" s="725"/>
      <c r="AD30" s="725"/>
      <c r="AE30" s="725"/>
      <c r="AF30" s="725"/>
      <c r="AG30" s="791"/>
      <c r="AH30" s="791"/>
      <c r="AI30" s="791"/>
      <c r="AJ30" s="791"/>
      <c r="AK30" s="791"/>
      <c r="AL30" s="791"/>
      <c r="AM30" s="791"/>
    </row>
    <row r="31">
      <c r="A31" s="725"/>
      <c r="B31" s="725"/>
      <c r="C31" s="725"/>
      <c r="D31" s="725"/>
      <c r="E31" s="725"/>
      <c r="F31" s="725"/>
      <c r="G31" s="725"/>
      <c r="H31" s="725"/>
      <c r="I31" s="725"/>
      <c r="J31" s="725"/>
      <c r="K31" s="725"/>
      <c r="L31" s="725"/>
      <c r="M31" s="725"/>
      <c r="N31" s="725"/>
      <c r="O31" s="725"/>
      <c r="P31" s="725"/>
      <c r="Q31" s="725"/>
      <c r="R31" s="725"/>
      <c r="S31" s="725"/>
      <c r="T31" s="725"/>
      <c r="U31" s="725"/>
      <c r="V31" s="725"/>
      <c r="W31" s="725"/>
      <c r="X31" s="725"/>
      <c r="Y31" s="725"/>
      <c r="Z31" s="725"/>
      <c r="AA31" s="725"/>
      <c r="AB31" s="725"/>
      <c r="AC31" s="725"/>
      <c r="AD31" s="725"/>
      <c r="AE31" s="725"/>
      <c r="AF31" s="725"/>
      <c r="AG31" s="791"/>
      <c r="AH31" s="791"/>
      <c r="AI31" s="791"/>
      <c r="AJ31" s="791"/>
      <c r="AK31" s="791"/>
      <c r="AL31" s="791"/>
      <c r="AM31" s="791"/>
    </row>
    <row r="32">
      <c r="A32" s="725"/>
      <c r="B32" s="725"/>
      <c r="C32" s="725"/>
      <c r="D32" s="725"/>
      <c r="E32" s="725"/>
      <c r="F32" s="725"/>
      <c r="G32" s="830" t="s">
        <v>263</v>
      </c>
      <c r="H32" s="725"/>
      <c r="I32" s="725"/>
      <c r="J32" s="725"/>
      <c r="K32" s="725"/>
      <c r="L32" s="725"/>
      <c r="M32" s="725"/>
      <c r="N32" s="725"/>
      <c r="O32" s="725"/>
      <c r="P32" s="725"/>
      <c r="Q32" s="725"/>
      <c r="R32" s="725"/>
      <c r="S32" s="725"/>
      <c r="T32" s="725"/>
      <c r="U32" s="725"/>
      <c r="V32" s="725"/>
      <c r="W32" s="725"/>
      <c r="X32" s="725"/>
      <c r="Y32" s="725"/>
      <c r="Z32" s="725"/>
      <c r="AA32" s="725"/>
      <c r="AB32" s="725"/>
      <c r="AC32" s="725"/>
      <c r="AD32" s="725"/>
      <c r="AE32" s="725"/>
      <c r="AF32" s="725"/>
      <c r="AG32" s="791"/>
      <c r="AH32" s="791"/>
      <c r="AI32" s="791"/>
      <c r="AJ32" s="791"/>
      <c r="AK32" s="791"/>
      <c r="AL32" s="791"/>
      <c r="AM32" s="791"/>
    </row>
    <row r="33">
      <c r="A33" s="829"/>
      <c r="B33" s="829"/>
      <c r="C33" s="774"/>
      <c r="D33" s="774"/>
      <c r="E33" s="725"/>
      <c r="F33" s="725"/>
      <c r="G33" s="725"/>
      <c r="H33" s="725"/>
      <c r="I33" s="725"/>
      <c r="J33" s="725"/>
      <c r="K33" s="725"/>
      <c r="L33" s="725"/>
      <c r="M33" s="725"/>
      <c r="N33" s="725"/>
      <c r="O33" s="725"/>
      <c r="P33" s="725"/>
      <c r="Q33" s="725"/>
      <c r="R33" s="725"/>
      <c r="S33" s="725"/>
      <c r="T33" s="725"/>
      <c r="U33" s="725"/>
      <c r="V33" s="725"/>
      <c r="W33" s="725"/>
      <c r="X33" s="725"/>
      <c r="Y33" s="725"/>
      <c r="Z33" s="725"/>
      <c r="AA33" s="725"/>
      <c r="AB33" s="725"/>
      <c r="AC33" s="725"/>
      <c r="AD33" s="725"/>
      <c r="AE33" s="725"/>
      <c r="AF33" s="725"/>
      <c r="AG33" s="791"/>
      <c r="AH33" s="791"/>
      <c r="AI33" s="791"/>
      <c r="AJ33" s="791"/>
      <c r="AK33" s="791"/>
      <c r="AL33" s="791"/>
      <c r="AM33" s="791"/>
    </row>
    <row r="34">
      <c r="A34" s="829"/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S34" s="725"/>
      <c r="T34" s="725"/>
      <c r="U34" s="725"/>
      <c r="V34" s="725"/>
      <c r="W34" s="725"/>
      <c r="X34" s="725"/>
      <c r="Y34" s="725"/>
      <c r="Z34" s="725"/>
      <c r="AA34" s="725"/>
      <c r="AB34" s="725"/>
      <c r="AC34" s="725"/>
      <c r="AD34" s="725"/>
      <c r="AE34" s="725"/>
      <c r="AF34" s="725"/>
      <c r="AG34" s="791"/>
      <c r="AH34" s="791"/>
      <c r="AI34" s="791"/>
      <c r="AJ34" s="791"/>
      <c r="AK34" s="791"/>
      <c r="AL34" s="791"/>
      <c r="AM34" s="791"/>
    </row>
    <row r="35">
      <c r="A35" s="829"/>
      <c r="B35" s="725"/>
      <c r="C35" s="725"/>
      <c r="D35" s="725"/>
      <c r="E35" s="725"/>
      <c r="F35" s="725"/>
      <c r="G35" s="829"/>
      <c r="H35" s="829"/>
      <c r="I35" s="774"/>
      <c r="J35" s="774"/>
      <c r="K35" s="774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725"/>
      <c r="AB35" s="725"/>
      <c r="AC35" s="725"/>
      <c r="AD35" s="725"/>
      <c r="AE35" s="725"/>
      <c r="AF35" s="725"/>
      <c r="AG35" s="791"/>
      <c r="AH35" s="791"/>
      <c r="AI35" s="791"/>
      <c r="AJ35" s="791"/>
      <c r="AK35" s="791"/>
      <c r="AL35" s="791"/>
      <c r="AM35" s="791"/>
    </row>
    <row r="36">
      <c r="A36" s="829"/>
      <c r="B36" s="829"/>
      <c r="C36" s="829"/>
      <c r="D36" s="774"/>
      <c r="E36" s="774"/>
      <c r="F36" s="725"/>
      <c r="G36" s="829"/>
      <c r="H36" s="829"/>
      <c r="I36" s="774"/>
      <c r="J36" s="774"/>
      <c r="K36" s="774"/>
      <c r="L36" s="725"/>
      <c r="M36" s="725"/>
      <c r="N36" s="725"/>
      <c r="O36" s="725"/>
      <c r="P36" s="725"/>
      <c r="Q36" s="725"/>
      <c r="R36" s="725"/>
      <c r="S36" s="725"/>
      <c r="T36" s="725"/>
      <c r="U36" s="725"/>
      <c r="V36" s="725"/>
      <c r="W36" s="725"/>
      <c r="X36" s="725"/>
      <c r="Y36" s="725"/>
      <c r="Z36" s="725"/>
      <c r="AA36" s="725"/>
      <c r="AB36" s="725"/>
      <c r="AC36" s="725"/>
      <c r="AD36" s="725"/>
      <c r="AE36" s="725"/>
      <c r="AF36" s="725"/>
      <c r="AG36" s="791"/>
      <c r="AH36" s="791"/>
      <c r="AI36" s="791"/>
      <c r="AJ36" s="791"/>
      <c r="AK36" s="791"/>
      <c r="AL36" s="791"/>
      <c r="AM36" s="791"/>
    </row>
    <row r="37">
      <c r="A37" s="829"/>
      <c r="B37" s="725"/>
      <c r="C37" s="725"/>
      <c r="D37" s="725"/>
      <c r="E37" s="725"/>
      <c r="F37" s="725"/>
      <c r="G37" s="725"/>
      <c r="H37" s="725"/>
      <c r="I37" s="725"/>
      <c r="J37" s="725"/>
      <c r="K37" s="725"/>
      <c r="L37" s="725"/>
      <c r="M37" s="725"/>
      <c r="N37" s="725"/>
      <c r="O37" s="725"/>
      <c r="P37" s="725"/>
      <c r="Q37" s="725"/>
      <c r="R37" s="725"/>
      <c r="S37" s="725"/>
      <c r="T37" s="725"/>
      <c r="U37" s="725"/>
      <c r="V37" s="725"/>
      <c r="W37" s="725"/>
      <c r="X37" s="725"/>
      <c r="Y37" s="725"/>
      <c r="Z37" s="725"/>
      <c r="AA37" s="725"/>
      <c r="AB37" s="725"/>
      <c r="AC37" s="725"/>
      <c r="AD37" s="725"/>
      <c r="AE37" s="725"/>
      <c r="AF37" s="725"/>
      <c r="AG37" s="791"/>
      <c r="AH37" s="791"/>
      <c r="AI37" s="791"/>
      <c r="AJ37" s="791"/>
      <c r="AK37" s="791"/>
      <c r="AL37" s="791"/>
      <c r="AM37" s="791"/>
    </row>
    <row r="38">
      <c r="A38" s="829"/>
      <c r="B38" s="725"/>
      <c r="C38" s="725"/>
      <c r="D38" s="725"/>
      <c r="E38" s="725"/>
      <c r="F38" s="725"/>
      <c r="G38" s="829"/>
      <c r="H38" s="829"/>
      <c r="I38" s="774"/>
      <c r="J38" s="774"/>
      <c r="K38" s="774"/>
      <c r="L38" s="725"/>
      <c r="M38" s="725"/>
      <c r="N38" s="725"/>
      <c r="O38" s="725"/>
      <c r="P38" s="725"/>
      <c r="Q38" s="725"/>
      <c r="R38" s="725"/>
      <c r="S38" s="725"/>
      <c r="T38" s="725"/>
      <c r="U38" s="725"/>
      <c r="V38" s="725"/>
      <c r="W38" s="725"/>
      <c r="X38" s="725"/>
      <c r="Y38" s="725"/>
      <c r="Z38" s="725"/>
      <c r="AA38" s="725"/>
      <c r="AB38" s="725"/>
      <c r="AC38" s="725"/>
      <c r="AD38" s="725"/>
      <c r="AE38" s="725"/>
      <c r="AF38" s="725"/>
      <c r="AG38" s="791"/>
      <c r="AH38" s="791"/>
      <c r="AI38" s="791"/>
      <c r="AJ38" s="791"/>
      <c r="AK38" s="791"/>
      <c r="AL38" s="791"/>
      <c r="AM38" s="791"/>
    </row>
    <row r="39">
      <c r="A39" s="829"/>
      <c r="B39" s="725"/>
      <c r="C39" s="725"/>
      <c r="D39" s="725"/>
      <c r="E39" s="725"/>
      <c r="F39" s="725"/>
      <c r="G39" s="829"/>
      <c r="H39" s="829"/>
      <c r="I39" s="774"/>
      <c r="J39" s="774"/>
      <c r="K39" s="774"/>
      <c r="L39" s="725"/>
      <c r="M39" s="725"/>
      <c r="N39" s="725"/>
      <c r="O39" s="725"/>
      <c r="P39" s="725"/>
      <c r="Q39" s="725"/>
      <c r="R39" s="725"/>
      <c r="S39" s="725"/>
      <c r="T39" s="725"/>
      <c r="U39" s="725"/>
      <c r="V39" s="725"/>
      <c r="W39" s="725"/>
      <c r="X39" s="725"/>
      <c r="Y39" s="725"/>
      <c r="Z39" s="725"/>
      <c r="AA39" s="725"/>
      <c r="AB39" s="725"/>
      <c r="AC39" s="725"/>
      <c r="AD39" s="725"/>
      <c r="AE39" s="725"/>
      <c r="AF39" s="725"/>
      <c r="AG39" s="791"/>
      <c r="AH39" s="791"/>
      <c r="AI39" s="791"/>
      <c r="AJ39" s="791"/>
      <c r="AK39" s="791"/>
      <c r="AL39" s="791"/>
      <c r="AM39" s="791"/>
    </row>
    <row r="40">
      <c r="A40" s="725"/>
      <c r="B40" s="725"/>
      <c r="C40" s="725"/>
      <c r="D40" s="725"/>
      <c r="E40" s="725"/>
      <c r="F40" s="725"/>
      <c r="G40" s="829"/>
      <c r="H40" s="829"/>
      <c r="I40" s="774"/>
      <c r="J40" s="774"/>
      <c r="K40" s="774"/>
      <c r="L40" s="725"/>
      <c r="M40" s="725"/>
      <c r="N40" s="725"/>
      <c r="O40" s="725"/>
      <c r="P40" s="725"/>
      <c r="Q40" s="725"/>
      <c r="R40" s="725"/>
      <c r="S40" s="725"/>
      <c r="T40" s="725"/>
      <c r="U40" s="725"/>
      <c r="V40" s="725"/>
      <c r="W40" s="725"/>
      <c r="X40" s="725"/>
      <c r="Y40" s="725"/>
      <c r="Z40" s="725"/>
      <c r="AA40" s="725"/>
      <c r="AB40" s="725"/>
      <c r="AC40" s="725"/>
      <c r="AD40" s="725"/>
      <c r="AE40" s="725"/>
      <c r="AF40" s="725"/>
      <c r="AG40" s="725"/>
      <c r="AH40" s="725"/>
      <c r="AI40" s="725"/>
      <c r="AJ40" s="791"/>
      <c r="AK40" s="791"/>
      <c r="AL40" s="791"/>
      <c r="AM40" s="791"/>
    </row>
    <row r="41">
      <c r="A41" s="829"/>
      <c r="B41" s="725"/>
      <c r="C41" s="725"/>
      <c r="D41" s="725"/>
      <c r="E41" s="725"/>
      <c r="F41" s="725"/>
      <c r="G41" s="725"/>
      <c r="H41" s="725"/>
      <c r="I41" s="725"/>
      <c r="J41" s="725"/>
      <c r="K41" s="725"/>
      <c r="L41" s="725"/>
      <c r="M41" s="725"/>
      <c r="N41" s="725"/>
      <c r="O41" s="725"/>
      <c r="P41" s="725"/>
      <c r="Q41" s="725"/>
      <c r="R41" s="725"/>
      <c r="S41" s="725"/>
      <c r="T41" s="725"/>
      <c r="U41" s="725"/>
      <c r="V41" s="725"/>
      <c r="W41" s="725"/>
      <c r="X41" s="725"/>
      <c r="Y41" s="725"/>
      <c r="Z41" s="725"/>
      <c r="AA41" s="725"/>
      <c r="AB41" s="725"/>
      <c r="AC41" s="725"/>
      <c r="AD41" s="725"/>
      <c r="AE41" s="725"/>
      <c r="AF41" s="725"/>
      <c r="AG41" s="725"/>
      <c r="AH41" s="725"/>
      <c r="AI41" s="725"/>
      <c r="AJ41" s="791"/>
      <c r="AK41" s="791"/>
      <c r="AL41" s="791"/>
      <c r="AM41" s="791"/>
    </row>
    <row r="42">
      <c r="A42" s="829"/>
      <c r="B42" s="725"/>
      <c r="C42" s="725"/>
      <c r="D42" s="725"/>
      <c r="E42" s="725"/>
      <c r="F42" s="725"/>
      <c r="G42" s="829"/>
      <c r="H42" s="829"/>
      <c r="I42" s="774"/>
      <c r="J42" s="774"/>
      <c r="K42" s="774"/>
      <c r="L42" s="725"/>
      <c r="M42" s="725"/>
      <c r="N42" s="725"/>
      <c r="O42" s="725"/>
      <c r="P42" s="725"/>
      <c r="Q42" s="725"/>
      <c r="R42" s="725"/>
      <c r="S42" s="725"/>
      <c r="T42" s="725"/>
      <c r="U42" s="725"/>
      <c r="V42" s="725"/>
      <c r="W42" s="725"/>
      <c r="X42" s="725"/>
      <c r="Y42" s="725"/>
      <c r="Z42" s="725"/>
      <c r="AA42" s="725"/>
      <c r="AB42" s="725"/>
      <c r="AC42" s="725"/>
      <c r="AD42" s="725"/>
      <c r="AE42" s="725"/>
      <c r="AF42" s="725"/>
      <c r="AG42" s="725"/>
      <c r="AH42" s="725"/>
      <c r="AI42" s="725"/>
      <c r="AJ42" s="791"/>
      <c r="AK42" s="791"/>
      <c r="AL42" s="791"/>
      <c r="AM42" s="791"/>
      <c r="AN42" s="831"/>
      <c r="AO42" s="831"/>
    </row>
    <row r="43">
      <c r="A43" s="829"/>
      <c r="B43" s="725"/>
      <c r="C43" s="725"/>
      <c r="D43" s="725"/>
      <c r="E43" s="725"/>
      <c r="F43" s="725"/>
      <c r="G43" s="829"/>
      <c r="H43" s="829"/>
      <c r="I43" s="774"/>
      <c r="J43" s="774"/>
      <c r="K43" s="774"/>
      <c r="L43" s="725"/>
      <c r="M43" s="725"/>
      <c r="N43" s="725"/>
      <c r="O43" s="725"/>
      <c r="P43" s="725"/>
      <c r="Q43" s="725"/>
      <c r="R43" s="725"/>
      <c r="S43" s="725"/>
      <c r="T43" s="725"/>
      <c r="U43" s="725"/>
      <c r="V43" s="725"/>
      <c r="W43" s="725"/>
      <c r="X43" s="725"/>
      <c r="Y43" s="725"/>
      <c r="Z43" s="725"/>
      <c r="AA43" s="725"/>
      <c r="AB43" s="725"/>
      <c r="AC43" s="725"/>
      <c r="AD43" s="725"/>
      <c r="AE43" s="725"/>
      <c r="AF43" s="725"/>
      <c r="AG43" s="725"/>
      <c r="AH43" s="725"/>
      <c r="AI43" s="725"/>
      <c r="AJ43" s="725"/>
      <c r="AK43" s="725"/>
      <c r="AL43" s="725"/>
      <c r="AM43" s="725"/>
      <c r="AN43" s="831"/>
      <c r="AO43" s="831"/>
    </row>
    <row r="44">
      <c r="A44" s="829"/>
      <c r="B44" s="725"/>
      <c r="C44" s="725"/>
      <c r="D44" s="725"/>
      <c r="E44" s="725"/>
      <c r="F44" s="725"/>
      <c r="G44" s="829"/>
      <c r="H44" s="829"/>
      <c r="I44" s="774"/>
      <c r="J44" s="774"/>
      <c r="K44" s="774"/>
      <c r="L44" s="725"/>
      <c r="M44" s="725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725"/>
      <c r="AB44" s="725"/>
      <c r="AC44" s="725"/>
      <c r="AD44" s="725"/>
      <c r="AE44" s="725"/>
      <c r="AF44" s="725"/>
      <c r="AG44" s="725"/>
      <c r="AH44" s="725"/>
      <c r="AI44" s="725"/>
      <c r="AJ44" s="725"/>
      <c r="AK44" s="725"/>
      <c r="AL44" s="725"/>
      <c r="AM44" s="725"/>
      <c r="AN44" s="831"/>
      <c r="AO44" s="831"/>
    </row>
    <row r="45">
      <c r="A45" s="829"/>
      <c r="B45" s="725"/>
      <c r="C45" s="725"/>
      <c r="D45" s="725"/>
      <c r="E45" s="725"/>
      <c r="F45" s="725"/>
      <c r="G45" s="829"/>
      <c r="H45" s="829"/>
      <c r="I45" s="774"/>
      <c r="J45" s="774"/>
      <c r="K45" s="774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725"/>
      <c r="AB45" s="725"/>
      <c r="AC45" s="725"/>
      <c r="AD45" s="725"/>
      <c r="AE45" s="725"/>
      <c r="AF45" s="725"/>
      <c r="AG45" s="725"/>
      <c r="AH45" s="725"/>
      <c r="AI45" s="725"/>
      <c r="AJ45" s="725"/>
      <c r="AK45" s="725"/>
      <c r="AL45" s="725"/>
      <c r="AM45" s="725"/>
      <c r="AN45" s="831"/>
      <c r="AO45" s="831"/>
    </row>
    <row r="46">
      <c r="A46" s="725"/>
      <c r="B46" s="829"/>
      <c r="C46" s="829"/>
      <c r="D46" s="829"/>
      <c r="E46" s="829"/>
      <c r="F46" s="829"/>
      <c r="G46" s="829"/>
      <c r="H46" s="774"/>
      <c r="I46" s="774"/>
      <c r="J46" s="774"/>
      <c r="K46" s="725"/>
      <c r="L46" s="725"/>
      <c r="M46" s="725"/>
      <c r="N46" s="725"/>
      <c r="O46" s="725"/>
      <c r="P46" s="725"/>
      <c r="Q46" s="725"/>
      <c r="R46" s="725"/>
      <c r="S46" s="725"/>
      <c r="T46" s="725"/>
      <c r="U46" s="725"/>
      <c r="V46" s="725"/>
      <c r="W46" s="725"/>
      <c r="X46" s="725"/>
      <c r="Y46" s="725"/>
      <c r="Z46" s="725"/>
      <c r="AA46" s="725"/>
      <c r="AB46" s="725"/>
      <c r="AC46" s="725"/>
      <c r="AD46" s="725"/>
      <c r="AE46" s="725"/>
      <c r="AF46" s="725"/>
      <c r="AG46" s="725"/>
      <c r="AH46" s="725"/>
      <c r="AI46" s="725"/>
      <c r="AJ46" s="725"/>
      <c r="AK46" s="725"/>
      <c r="AL46" s="725"/>
      <c r="AM46" s="725"/>
      <c r="AN46" s="831"/>
      <c r="AO46" s="831"/>
    </row>
    <row r="47">
      <c r="A47" s="725"/>
      <c r="B47" s="725"/>
      <c r="C47" s="725"/>
      <c r="D47" s="725"/>
      <c r="E47" s="832"/>
      <c r="F47" s="725"/>
      <c r="G47" s="725"/>
      <c r="H47" s="725"/>
      <c r="I47" s="725"/>
      <c r="J47" s="725"/>
      <c r="K47" s="725"/>
      <c r="L47" s="725"/>
      <c r="M47" s="725"/>
      <c r="N47" s="725"/>
      <c r="O47" s="725"/>
      <c r="P47" s="725"/>
      <c r="Q47" s="725"/>
      <c r="R47" s="725"/>
      <c r="S47" s="725"/>
      <c r="T47" s="725"/>
      <c r="U47" s="725"/>
      <c r="V47" s="725"/>
      <c r="W47" s="725"/>
      <c r="X47" s="725"/>
      <c r="Y47" s="725"/>
      <c r="Z47" s="725"/>
      <c r="AA47" s="725"/>
      <c r="AB47" s="725"/>
      <c r="AC47" s="725"/>
      <c r="AD47" s="725"/>
      <c r="AE47" s="725"/>
      <c r="AF47" s="725"/>
      <c r="AG47" s="725"/>
      <c r="AH47" s="725"/>
      <c r="AI47" s="725"/>
      <c r="AJ47" s="725"/>
      <c r="AK47" s="725"/>
      <c r="AL47" s="725"/>
      <c r="AM47" s="725"/>
      <c r="AN47" s="831"/>
      <c r="AO47" s="831"/>
    </row>
    <row r="48">
      <c r="A48" s="725"/>
      <c r="B48" s="725"/>
      <c r="C48" s="725"/>
      <c r="D48" s="725"/>
      <c r="E48" s="725"/>
      <c r="F48" s="725"/>
      <c r="G48" s="725"/>
      <c r="H48" s="725"/>
      <c r="I48" s="725"/>
      <c r="J48" s="725"/>
      <c r="K48" s="725"/>
      <c r="L48" s="725"/>
      <c r="M48" s="725"/>
      <c r="N48" s="725"/>
      <c r="O48" s="725"/>
      <c r="P48" s="725"/>
      <c r="Q48" s="725"/>
      <c r="R48" s="725"/>
      <c r="S48" s="725"/>
      <c r="T48" s="725"/>
      <c r="U48" s="725"/>
      <c r="V48" s="725"/>
      <c r="W48" s="725"/>
      <c r="X48" s="725"/>
      <c r="Y48" s="725"/>
      <c r="Z48" s="725"/>
      <c r="AA48" s="725"/>
      <c r="AB48" s="725"/>
      <c r="AC48" s="725"/>
      <c r="AD48" s="725"/>
      <c r="AE48" s="725"/>
      <c r="AF48" s="725"/>
      <c r="AG48" s="725"/>
      <c r="AH48" s="725"/>
      <c r="AI48" s="725"/>
      <c r="AJ48" s="725"/>
      <c r="AK48" s="725"/>
      <c r="AL48" s="725"/>
      <c r="AM48" s="725"/>
      <c r="AN48" s="831"/>
      <c r="AO48" s="831"/>
    </row>
    <row r="49">
      <c r="A49" s="725"/>
      <c r="B49" s="725"/>
      <c r="C49" s="725"/>
      <c r="D49" s="725"/>
      <c r="E49" s="725"/>
      <c r="F49" s="725"/>
      <c r="G49" s="725"/>
      <c r="H49" s="725"/>
      <c r="I49" s="725"/>
      <c r="J49" s="725"/>
      <c r="K49" s="725"/>
      <c r="L49" s="725"/>
      <c r="M49" s="725"/>
      <c r="N49" s="725"/>
      <c r="O49" s="725"/>
      <c r="P49" s="725"/>
      <c r="Q49" s="725"/>
      <c r="R49" s="725"/>
      <c r="S49" s="725"/>
      <c r="T49" s="725"/>
      <c r="U49" s="725"/>
      <c r="V49" s="725"/>
      <c r="W49" s="725"/>
      <c r="X49" s="725"/>
      <c r="Y49" s="725"/>
      <c r="Z49" s="725"/>
      <c r="AA49" s="725"/>
      <c r="AB49" s="725"/>
      <c r="AC49" s="725"/>
      <c r="AD49" s="725"/>
      <c r="AE49" s="725"/>
      <c r="AF49" s="725"/>
      <c r="AG49" s="725"/>
      <c r="AH49" s="725"/>
      <c r="AI49" s="725"/>
      <c r="AJ49" s="725"/>
      <c r="AK49" s="725"/>
      <c r="AL49" s="725"/>
      <c r="AM49" s="725"/>
      <c r="AN49" s="831"/>
      <c r="AO49" s="831"/>
    </row>
    <row r="50">
      <c r="A50" s="725"/>
      <c r="B50" s="725"/>
      <c r="C50" s="725"/>
      <c r="D50" s="725"/>
      <c r="E50" s="725"/>
      <c r="F50" s="725"/>
      <c r="G50" s="725"/>
      <c r="H50" s="725"/>
      <c r="I50" s="725"/>
      <c r="J50" s="725"/>
      <c r="K50" s="725"/>
      <c r="L50" s="725"/>
      <c r="M50" s="725"/>
      <c r="N50" s="725"/>
      <c r="O50" s="725"/>
      <c r="P50" s="725"/>
      <c r="Q50" s="725"/>
      <c r="R50" s="725"/>
      <c r="S50" s="725"/>
      <c r="T50" s="725"/>
      <c r="U50" s="725"/>
      <c r="V50" s="725"/>
      <c r="W50" s="725"/>
      <c r="X50" s="725"/>
      <c r="Y50" s="725"/>
      <c r="Z50" s="725"/>
      <c r="AA50" s="725"/>
      <c r="AB50" s="725"/>
      <c r="AC50" s="725"/>
      <c r="AD50" s="725"/>
      <c r="AE50" s="725"/>
      <c r="AF50" s="725"/>
      <c r="AG50" s="725"/>
      <c r="AH50" s="725"/>
      <c r="AI50" s="725"/>
      <c r="AJ50" s="725"/>
      <c r="AK50" s="725"/>
      <c r="AL50" s="725"/>
      <c r="AM50" s="725"/>
      <c r="AN50" s="831"/>
      <c r="AO50" s="831"/>
    </row>
    <row r="51">
      <c r="A51" s="725"/>
      <c r="B51" s="725"/>
      <c r="C51" s="725"/>
      <c r="D51" s="725"/>
      <c r="E51" s="725"/>
      <c r="F51" s="725"/>
      <c r="G51" s="725"/>
      <c r="H51" s="725"/>
      <c r="I51" s="725"/>
      <c r="J51" s="725"/>
      <c r="K51" s="725"/>
      <c r="L51" s="725"/>
      <c r="M51" s="725"/>
      <c r="N51" s="725"/>
      <c r="O51" s="725"/>
      <c r="P51" s="725"/>
      <c r="Q51" s="725"/>
      <c r="R51" s="725"/>
      <c r="S51" s="725"/>
      <c r="T51" s="725"/>
      <c r="U51" s="725"/>
      <c r="V51" s="725"/>
      <c r="W51" s="725"/>
      <c r="X51" s="725"/>
      <c r="Y51" s="725"/>
      <c r="Z51" s="725"/>
      <c r="AA51" s="725"/>
      <c r="AB51" s="725"/>
      <c r="AC51" s="725"/>
      <c r="AD51" s="725"/>
      <c r="AE51" s="725"/>
      <c r="AF51" s="725"/>
      <c r="AG51" s="725"/>
      <c r="AH51" s="725"/>
      <c r="AI51" s="725"/>
      <c r="AJ51" s="725"/>
      <c r="AK51" s="725"/>
      <c r="AL51" s="725"/>
      <c r="AM51" s="725"/>
      <c r="AN51" s="831"/>
      <c r="AO51" s="831"/>
    </row>
    <row r="52">
      <c r="A52" s="725"/>
      <c r="B52" s="725"/>
      <c r="C52" s="725"/>
      <c r="D52" s="725"/>
      <c r="E52" s="725"/>
      <c r="F52" s="725"/>
      <c r="G52" s="725"/>
      <c r="H52" s="725"/>
      <c r="I52" s="725"/>
      <c r="J52" s="725"/>
      <c r="K52" s="725"/>
      <c r="L52" s="725"/>
      <c r="M52" s="725"/>
      <c r="N52" s="725"/>
      <c r="O52" s="725"/>
      <c r="P52" s="725"/>
      <c r="Q52" s="725"/>
      <c r="R52" s="725"/>
      <c r="S52" s="725"/>
      <c r="T52" s="725"/>
      <c r="U52" s="725"/>
      <c r="V52" s="725"/>
      <c r="W52" s="725"/>
      <c r="X52" s="725"/>
      <c r="Y52" s="725"/>
      <c r="Z52" s="725"/>
      <c r="AA52" s="725"/>
      <c r="AB52" s="725"/>
      <c r="AC52" s="725"/>
      <c r="AD52" s="725"/>
      <c r="AE52" s="725"/>
      <c r="AF52" s="725"/>
      <c r="AG52" s="725"/>
      <c r="AH52" s="725"/>
      <c r="AI52" s="725"/>
      <c r="AJ52" s="725"/>
      <c r="AK52" s="725"/>
      <c r="AL52" s="725"/>
      <c r="AM52" s="725"/>
      <c r="AN52" s="831"/>
      <c r="AO52" s="831"/>
    </row>
    <row r="53">
      <c r="A53" s="725"/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725"/>
      <c r="AB53" s="725"/>
      <c r="AC53" s="725"/>
      <c r="AD53" s="725"/>
      <c r="AE53" s="725"/>
      <c r="AF53" s="725"/>
      <c r="AG53" s="725"/>
      <c r="AH53" s="725"/>
      <c r="AI53" s="725"/>
      <c r="AJ53" s="725"/>
      <c r="AK53" s="725"/>
      <c r="AL53" s="725"/>
      <c r="AM53" s="725"/>
      <c r="AN53" s="831"/>
      <c r="AO53" s="831"/>
    </row>
    <row r="54">
      <c r="AK54" s="831"/>
      <c r="AL54" s="831"/>
      <c r="AM54" s="831"/>
      <c r="AN54" s="831"/>
      <c r="AO54" s="831"/>
    </row>
    <row r="55">
      <c r="AK55" s="831"/>
      <c r="AL55" s="831"/>
      <c r="AM55" s="831"/>
      <c r="AN55" s="831"/>
      <c r="AO55" s="831"/>
    </row>
  </sheetData>
  <mergeCells count="12">
    <mergeCell ref="I18:N18"/>
    <mergeCell ref="O18:R18"/>
    <mergeCell ref="I19:N19"/>
    <mergeCell ref="O19:R19"/>
    <mergeCell ref="U22:AF22"/>
    <mergeCell ref="B2:R2"/>
    <mergeCell ref="B3:R3"/>
    <mergeCell ref="I15:R15"/>
    <mergeCell ref="I16:N16"/>
    <mergeCell ref="O16:R16"/>
    <mergeCell ref="I17:N17"/>
    <mergeCell ref="O17:R17"/>
  </mergeCells>
  <conditionalFormatting sqref="I19:R19">
    <cfRule type="cellIs" dxfId="8" priority="1" operator="greaterThanOrEqual">
      <formula>0</formula>
    </cfRule>
  </conditionalFormatting>
  <conditionalFormatting sqref="O5:O14">
    <cfRule type="cellIs" dxfId="8" priority="2" operator="greaterThan">
      <formula>0</formula>
    </cfRule>
  </conditionalFormatting>
  <conditionalFormatting sqref="O5:O14">
    <cfRule type="cellIs" dxfId="12" priority="3" operator="lessThan">
      <formula>0</formula>
    </cfRule>
  </conditionalFormatting>
  <hyperlinks>
    <hyperlink r:id="rId4" location="overview" ref="G9"/>
  </hyperlinks>
  <drawing r:id="rId5"/>
  <legacyDrawing r:id="rId6"/>
  <tableParts count="2">
    <tablePart r:id="rId9"/>
    <tablePart r:id="rId10"/>
  </tableParts>
</worksheet>
</file>